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siliumnz.sharepoint.com/sites/cic/Shared Documents/General/Research/"/>
    </mc:Choice>
  </mc:AlternateContent>
  <xr:revisionPtr revIDLastSave="0" documentId="8_{23BE2E7F-D7AB-4840-AEA8-F63297273118}" xr6:coauthVersionLast="47" xr6:coauthVersionMax="47" xr10:uidLastSave="{00000000-0000-0000-0000-000000000000}"/>
  <bookViews>
    <workbookView xWindow="-16305" yWindow="-16320" windowWidth="29040" windowHeight="16440" xr2:uid="{E6B81B28-FDBC-499C-8830-51911558822B}"/>
  </bookViews>
  <sheets>
    <sheet name="3x3" sheetId="1" r:id="rId1"/>
    <sheet name="2x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0" i="2" l="1" a="1"/>
  <c r="AA30" i="2" s="1"/>
  <c r="V46" i="2"/>
  <c r="U46" i="2"/>
  <c r="T46" i="2"/>
  <c r="S46" i="2"/>
  <c r="R46" i="2"/>
  <c r="Q46" i="2"/>
  <c r="P46" i="2"/>
  <c r="O46" i="2"/>
  <c r="N46" i="2"/>
  <c r="S44" i="2"/>
  <c r="R44" i="2"/>
  <c r="R43" i="2"/>
  <c r="P42" i="2"/>
  <c r="N38" i="2" a="1"/>
  <c r="N38" i="2" s="1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M34" i="2"/>
  <c r="O44" i="2" s="1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M33" i="2"/>
  <c r="Q43" i="2" s="1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M32" i="2"/>
  <c r="T43" i="2" s="1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M31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M30" i="2"/>
  <c r="N43" i="2" s="1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M29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M28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M27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M26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M25" i="2"/>
  <c r="Q42" i="2" s="1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M24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M23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M22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M21" i="2"/>
  <c r="AS20" i="2"/>
  <c r="AR20" i="2"/>
  <c r="AQ20" i="2"/>
  <c r="AP20" i="2"/>
  <c r="AO20" i="2"/>
  <c r="AN20" i="2"/>
  <c r="V38" i="2" s="1" a="1"/>
  <c r="V38" i="2" s="1"/>
  <c r="AM20" i="2"/>
  <c r="AL20" i="2"/>
  <c r="Z43" i="2" s="1" a="1"/>
  <c r="Z43" i="2" s="1"/>
  <c r="E4" i="2" s="1"/>
  <c r="AK20" i="2"/>
  <c r="AJ20" i="2"/>
  <c r="AI20" i="2"/>
  <c r="AH20" i="2"/>
  <c r="AG20" i="2"/>
  <c r="AF20" i="2"/>
  <c r="AE20" i="2"/>
  <c r="Z41" i="2" s="1" a="1"/>
  <c r="Z41" i="2" s="1"/>
  <c r="E2" i="2" s="1"/>
  <c r="Z20" i="2"/>
  <c r="Z20" i="2" a="1"/>
  <c r="M20" i="2"/>
  <c r="Z37" i="2" s="1"/>
  <c r="A20" i="2" a="1"/>
  <c r="X31" i="2" s="1" a="1"/>
  <c r="X31" i="2" s="1"/>
  <c r="Z19" i="2" a="1"/>
  <c r="Z19" i="2" s="1"/>
  <c r="AA4" i="2"/>
  <c r="Z4" i="2"/>
  <c r="Y4" i="2"/>
  <c r="X4" i="2"/>
  <c r="W4" i="2"/>
  <c r="V4" i="2"/>
  <c r="U4" i="2"/>
  <c r="T4" i="2"/>
  <c r="S4" i="2"/>
  <c r="AA3" i="2"/>
  <c r="Z3" i="2"/>
  <c r="Y3" i="2"/>
  <c r="X3" i="2"/>
  <c r="W3" i="2"/>
  <c r="V3" i="2"/>
  <c r="U3" i="2"/>
  <c r="T3" i="2"/>
  <c r="S3" i="2"/>
  <c r="AA2" i="2"/>
  <c r="Z2" i="2"/>
  <c r="Y2" i="2"/>
  <c r="X2" i="2"/>
  <c r="W2" i="2"/>
  <c r="V2" i="2"/>
  <c r="U2" i="2"/>
  <c r="T2" i="2"/>
  <c r="S2" i="2"/>
  <c r="S1" i="2" a="1"/>
  <c r="S1" i="2" s="1"/>
  <c r="Y9" i="1"/>
  <c r="Z9" i="1"/>
  <c r="AA9" i="1"/>
  <c r="Y10" i="1"/>
  <c r="Z10" i="1"/>
  <c r="AA10" i="1"/>
  <c r="S9" i="1"/>
  <c r="T9" i="1"/>
  <c r="U9" i="1"/>
  <c r="V9" i="1"/>
  <c r="W9" i="1"/>
  <c r="S10" i="1"/>
  <c r="T10" i="1"/>
  <c r="U10" i="1"/>
  <c r="V10" i="1"/>
  <c r="W10" i="1"/>
  <c r="X9" i="1"/>
  <c r="X10" i="1"/>
  <c r="T6" i="1"/>
  <c r="U6" i="1"/>
  <c r="V6" i="1"/>
  <c r="W6" i="1"/>
  <c r="X6" i="1"/>
  <c r="Y6" i="1"/>
  <c r="Z6" i="1"/>
  <c r="AA6" i="1"/>
  <c r="T7" i="1" a="1"/>
  <c r="T7" i="1" s="1"/>
  <c r="U7" i="1" a="1"/>
  <c r="U7" i="1" s="1"/>
  <c r="V7" i="1" a="1"/>
  <c r="V7" i="1" s="1"/>
  <c r="W7" i="1" a="1"/>
  <c r="W7" i="1" s="1"/>
  <c r="X7" i="1" a="1"/>
  <c r="X7" i="1" s="1"/>
  <c r="Y7" i="1" a="1"/>
  <c r="Y7" i="1" s="1"/>
  <c r="Z7" i="1" a="1"/>
  <c r="Z7" i="1"/>
  <c r="AA7" i="1" a="1"/>
  <c r="AA7" i="1" s="1"/>
  <c r="S6" i="1"/>
  <c r="S7" i="1" a="1"/>
  <c r="S7" i="1" s="1"/>
  <c r="P7" i="1" a="1"/>
  <c r="P7" i="1" s="1"/>
  <c r="P9" i="1" s="1"/>
  <c r="P6" i="1"/>
  <c r="T2" i="1"/>
  <c r="U2" i="1"/>
  <c r="V2" i="1"/>
  <c r="W2" i="1"/>
  <c r="X2" i="1"/>
  <c r="Y2" i="1"/>
  <c r="Z2" i="1"/>
  <c r="AA2" i="1"/>
  <c r="T3" i="1"/>
  <c r="U3" i="1"/>
  <c r="V3" i="1"/>
  <c r="W3" i="1"/>
  <c r="X3" i="1"/>
  <c r="Y3" i="1"/>
  <c r="Z3" i="1"/>
  <c r="AA3" i="1"/>
  <c r="T4" i="1"/>
  <c r="U4" i="1"/>
  <c r="V4" i="1"/>
  <c r="W4" i="1"/>
  <c r="X4" i="1"/>
  <c r="Y4" i="1"/>
  <c r="Z4" i="1"/>
  <c r="AA4" i="1"/>
  <c r="S1" i="1" a="1"/>
  <c r="S1" i="1" s="1"/>
  <c r="S3" i="1"/>
  <c r="S4" i="1"/>
  <c r="S2" i="1"/>
  <c r="X34" i="1" a="1"/>
  <c r="X34" i="1" s="1"/>
  <c r="X33" i="1" a="1"/>
  <c r="X33" i="1"/>
  <c r="X32" i="1" a="1"/>
  <c r="X32" i="1" s="1"/>
  <c r="X31" i="1" a="1"/>
  <c r="X31" i="1"/>
  <c r="X30" i="1" a="1"/>
  <c r="X30" i="1" s="1"/>
  <c r="X29" i="1" a="1"/>
  <c r="X29" i="1"/>
  <c r="X28" i="1" a="1"/>
  <c r="X28" i="1"/>
  <c r="X27" i="1" a="1"/>
  <c r="X27" i="1"/>
  <c r="X26" i="1" a="1"/>
  <c r="X26" i="1" s="1"/>
  <c r="X25" i="1" a="1"/>
  <c r="X25" i="1" s="1"/>
  <c r="X24" i="1" a="1"/>
  <c r="X24" i="1"/>
  <c r="X23" i="1" a="1"/>
  <c r="X23" i="1"/>
  <c r="X22" i="1" a="1"/>
  <c r="X22" i="1"/>
  <c r="X21" i="1" a="1"/>
  <c r="X21" i="1"/>
  <c r="X20" i="1" a="1"/>
  <c r="X20" i="1" s="1"/>
  <c r="A20" i="1" a="1"/>
  <c r="A20" i="1" s="1"/>
  <c r="M4" i="1"/>
  <c r="L4" i="1"/>
  <c r="K4" i="1"/>
  <c r="M3" i="1"/>
  <c r="L3" i="1"/>
  <c r="K3" i="1"/>
  <c r="M2" i="1"/>
  <c r="L2" i="1"/>
  <c r="K2" i="1"/>
  <c r="F2" i="1"/>
  <c r="G2" i="1"/>
  <c r="F3" i="1"/>
  <c r="G3" i="1"/>
  <c r="F4" i="1"/>
  <c r="G4" i="1"/>
  <c r="E3" i="1"/>
  <c r="E4" i="1"/>
  <c r="E2" i="1"/>
  <c r="V38" i="1" a="1"/>
  <c r="V38" i="1" s="1"/>
  <c r="U38" i="1" a="1"/>
  <c r="U38" i="1" s="1"/>
  <c r="T38" i="1" a="1"/>
  <c r="T38" i="1" s="1"/>
  <c r="S38" i="1" a="1"/>
  <c r="S38" i="1" s="1"/>
  <c r="R38" i="1" a="1"/>
  <c r="R38" i="1" s="1"/>
  <c r="Q38" i="1" a="1"/>
  <c r="Q38" i="1" s="1"/>
  <c r="P38" i="1" a="1"/>
  <c r="P38" i="1" s="1"/>
  <c r="O38" i="1" a="1"/>
  <c r="O38" i="1" s="1"/>
  <c r="N38" i="1" a="1"/>
  <c r="N38" i="1" s="1"/>
  <c r="AA38" i="1" a="1"/>
  <c r="AA38" i="1" s="1"/>
  <c r="AB38" i="1" a="1"/>
  <c r="AB38" i="1" s="1"/>
  <c r="Z38" i="1" a="1"/>
  <c r="Z38" i="1" s="1"/>
  <c r="AF20" i="1"/>
  <c r="AG20" i="1"/>
  <c r="AH20" i="1"/>
  <c r="AI20" i="1"/>
  <c r="AJ20" i="1"/>
  <c r="AK20" i="1"/>
  <c r="AA43" i="1" s="1" a="1"/>
  <c r="AA43" i="1" s="1"/>
  <c r="AL20" i="1"/>
  <c r="AM20" i="1"/>
  <c r="AN20" i="1"/>
  <c r="AO20" i="1"/>
  <c r="AP20" i="1"/>
  <c r="AQ20" i="1"/>
  <c r="AR20" i="1"/>
  <c r="AS20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20" i="1"/>
  <c r="C2" i="1" a="1"/>
  <c r="C2" i="1" s="1"/>
  <c r="V37" i="1"/>
  <c r="U37" i="1"/>
  <c r="T37" i="1"/>
  <c r="S37" i="1"/>
  <c r="R37" i="1"/>
  <c r="Q37" i="1"/>
  <c r="P37" i="1"/>
  <c r="O37" i="1"/>
  <c r="N37" i="1"/>
  <c r="AA37" i="1"/>
  <c r="AB37" i="1"/>
  <c r="Z37" i="1"/>
  <c r="AA30" i="1" a="1"/>
  <c r="AA30" i="1" s="1"/>
  <c r="Z20" i="1" a="1"/>
  <c r="Z20" i="1" s="1"/>
  <c r="Z19" i="1" a="1"/>
  <c r="Z19" i="1" s="1"/>
  <c r="T46" i="1"/>
  <c r="U46" i="1"/>
  <c r="V46" i="1"/>
  <c r="O46" i="1"/>
  <c r="P46" i="1"/>
  <c r="Q46" i="1"/>
  <c r="R46" i="1"/>
  <c r="S46" i="1"/>
  <c r="N46" i="1"/>
  <c r="S43" i="1"/>
  <c r="T43" i="1"/>
  <c r="M21" i="1"/>
  <c r="M22" i="1"/>
  <c r="M23" i="1"/>
  <c r="M24" i="1"/>
  <c r="M25" i="1"/>
  <c r="M26" i="1"/>
  <c r="M27" i="1"/>
  <c r="M28" i="1"/>
  <c r="M29" i="1"/>
  <c r="M30" i="1"/>
  <c r="M31" i="1"/>
  <c r="M32" i="1"/>
  <c r="Q43" i="1" s="1"/>
  <c r="M33" i="1"/>
  <c r="R43" i="1" s="1"/>
  <c r="M34" i="1"/>
  <c r="Q44" i="1" s="1"/>
  <c r="M20" i="1"/>
  <c r="AA37" i="2" l="1"/>
  <c r="C2" i="2" s="1" a="1"/>
  <c r="C2" i="2" s="1"/>
  <c r="N42" i="2"/>
  <c r="P44" i="2"/>
  <c r="U38" i="2" a="1"/>
  <c r="U38" i="2" s="1"/>
  <c r="O43" i="2"/>
  <c r="X25" i="2" a="1"/>
  <c r="X25" i="2" s="1"/>
  <c r="X32" i="2" a="1"/>
  <c r="X32" i="2" s="1"/>
  <c r="AB37" i="2"/>
  <c r="O42" i="2"/>
  <c r="P43" i="2"/>
  <c r="Q44" i="2"/>
  <c r="U44" i="2"/>
  <c r="X33" i="2" a="1"/>
  <c r="X33" i="2" s="1"/>
  <c r="Z38" i="2" a="1"/>
  <c r="Z38" i="2" s="1"/>
  <c r="S43" i="2"/>
  <c r="S42" i="2"/>
  <c r="N37" i="2"/>
  <c r="O38" i="2" a="1"/>
  <c r="O38" i="2" s="1"/>
  <c r="R42" i="2"/>
  <c r="T44" i="2"/>
  <c r="X27" i="2" a="1"/>
  <c r="X27" i="2" s="1"/>
  <c r="X34" i="2" a="1"/>
  <c r="X34" i="2" s="1"/>
  <c r="P38" i="2" a="1"/>
  <c r="P38" i="2" s="1"/>
  <c r="AA38" i="2" a="1"/>
  <c r="AA38" i="2" s="1"/>
  <c r="T42" i="2"/>
  <c r="U43" i="2"/>
  <c r="V44" i="2"/>
  <c r="X28" i="2" a="1"/>
  <c r="X28" i="2" s="1"/>
  <c r="O37" i="2"/>
  <c r="U42" i="2"/>
  <c r="V43" i="2"/>
  <c r="Q38" i="2" a="1"/>
  <c r="Q38" i="2" s="1"/>
  <c r="AA43" i="2" a="1"/>
  <c r="AA43" i="2" s="1"/>
  <c r="F4" i="2" s="1"/>
  <c r="V42" i="2"/>
  <c r="AA42" i="2" a="1"/>
  <c r="AA42" i="2" s="1"/>
  <c r="F3" i="2" s="1"/>
  <c r="AB38" i="2" a="1"/>
  <c r="AB38" i="2" s="1"/>
  <c r="R37" i="2"/>
  <c r="AB43" i="2" a="1"/>
  <c r="AB43" i="2" s="1"/>
  <c r="G4" i="2" s="1"/>
  <c r="X26" i="2" a="1"/>
  <c r="X26" i="2" s="1"/>
  <c r="Q37" i="2"/>
  <c r="S38" i="2" a="1"/>
  <c r="S38" i="2" s="1"/>
  <c r="X23" i="2" a="1"/>
  <c r="X23" i="2" s="1"/>
  <c r="U37" i="2"/>
  <c r="AB42" i="2" a="1"/>
  <c r="AB42" i="2" s="1"/>
  <c r="G3" i="2" s="1"/>
  <c r="A20" i="2"/>
  <c r="X20" i="2" s="1" a="1"/>
  <c r="X20" i="2" s="1"/>
  <c r="P37" i="2"/>
  <c r="Z42" i="2" a="1"/>
  <c r="Z42" i="2" s="1"/>
  <c r="E3" i="2" s="1"/>
  <c r="R38" i="2" a="1"/>
  <c r="R38" i="2" s="1"/>
  <c r="AA41" i="2" a="1"/>
  <c r="AA41" i="2" s="1"/>
  <c r="F2" i="2" s="1"/>
  <c r="V37" i="2"/>
  <c r="T38" i="2" a="1"/>
  <c r="T38" i="2" s="1"/>
  <c r="AB41" i="2" a="1"/>
  <c r="AB41" i="2" s="1"/>
  <c r="G2" i="2" s="1"/>
  <c r="N44" i="2"/>
  <c r="X21" i="2" a="1"/>
  <c r="X21" i="2" s="1"/>
  <c r="X29" i="2" a="1"/>
  <c r="X29" i="2" s="1"/>
  <c r="X22" i="2" a="1"/>
  <c r="X22" i="2" s="1"/>
  <c r="X30" i="2" a="1"/>
  <c r="X30" i="2" s="1"/>
  <c r="S37" i="2"/>
  <c r="T37" i="2"/>
  <c r="X24" i="2" a="1"/>
  <c r="X24" i="2" s="1"/>
  <c r="AB41" i="1" a="1"/>
  <c r="AB41" i="1" s="1"/>
  <c r="AB43" i="1" a="1"/>
  <c r="AB43" i="1" s="1"/>
  <c r="I2" i="1" a="1"/>
  <c r="I2" i="1" s="1"/>
  <c r="Z41" i="1" a="1"/>
  <c r="Z41" i="1" s="1"/>
  <c r="Z42" i="1" a="1"/>
  <c r="Z42" i="1" s="1"/>
  <c r="AA42" i="1" a="1"/>
  <c r="AA42" i="1" s="1"/>
  <c r="Z43" i="1" a="1"/>
  <c r="Z43" i="1" s="1"/>
  <c r="AA41" i="1" a="1"/>
  <c r="AA41" i="1" s="1"/>
  <c r="AB42" i="1" a="1"/>
  <c r="AB42" i="1" s="1"/>
  <c r="O43" i="1"/>
  <c r="P43" i="1"/>
  <c r="U43" i="1"/>
  <c r="N44" i="1"/>
  <c r="S42" i="1"/>
  <c r="V44" i="1"/>
  <c r="U44" i="1"/>
  <c r="P44" i="1"/>
  <c r="O44" i="1"/>
  <c r="O42" i="1"/>
  <c r="N43" i="1"/>
  <c r="V43" i="1"/>
  <c r="R42" i="1"/>
  <c r="Q42" i="1"/>
  <c r="P42" i="1"/>
  <c r="N42" i="1"/>
  <c r="T44" i="1"/>
  <c r="V42" i="1"/>
  <c r="S44" i="1"/>
  <c r="U42" i="1"/>
  <c r="R44" i="1"/>
  <c r="T42" i="1"/>
  <c r="W7" i="2" l="1" a="1"/>
  <c r="W7" i="2" s="1"/>
  <c r="W10" i="2" s="1"/>
  <c r="I2" i="2" a="1"/>
  <c r="I2" i="2" s="1"/>
  <c r="K6" i="2" s="1" a="1"/>
  <c r="K6" i="2" s="1"/>
  <c r="P6" i="2"/>
  <c r="AA6" i="2"/>
  <c r="AA9" i="2" s="1"/>
  <c r="V6" i="2"/>
  <c r="V9" i="2" s="1"/>
  <c r="U6" i="2"/>
  <c r="U9" i="2" s="1"/>
  <c r="Y6" i="2"/>
  <c r="Y9" i="2" s="1"/>
  <c r="X6" i="2"/>
  <c r="X9" i="2" s="1"/>
  <c r="W6" i="2"/>
  <c r="W9" i="2" s="1"/>
  <c r="T6" i="2"/>
  <c r="T9" i="2" s="1"/>
  <c r="S6" i="2"/>
  <c r="S9" i="2" s="1"/>
  <c r="Z6" i="2"/>
  <c r="Z9" i="2" s="1"/>
  <c r="U7" i="2" a="1"/>
  <c r="U7" i="2" s="1"/>
  <c r="U10" i="2" s="1"/>
  <c r="Y7" i="2" a="1"/>
  <c r="Y7" i="2" s="1"/>
  <c r="Y10" i="2" s="1"/>
  <c r="K2" i="2"/>
  <c r="M3" i="2"/>
  <c r="X7" i="2" a="1"/>
  <c r="X7" i="2" s="1"/>
  <c r="X10" i="2" s="1"/>
  <c r="K3" i="2"/>
  <c r="P7" i="2" a="1"/>
  <c r="P7" i="2" s="1"/>
  <c r="P9" i="2" s="1"/>
  <c r="T7" i="2" a="1"/>
  <c r="T7" i="2" s="1"/>
  <c r="T10" i="2" s="1"/>
  <c r="L4" i="2"/>
  <c r="K4" i="2"/>
  <c r="V7" i="2" a="1"/>
  <c r="V7" i="2" s="1"/>
  <c r="V10" i="2" s="1"/>
  <c r="M4" i="2"/>
  <c r="L2" i="2"/>
  <c r="S7" i="2" a="1"/>
  <c r="S7" i="2" s="1"/>
  <c r="S10" i="2" s="1"/>
  <c r="M2" i="2"/>
  <c r="AA7" i="2" a="1"/>
  <c r="AA7" i="2" s="1"/>
  <c r="AA10" i="2" s="1"/>
  <c r="L3" i="2"/>
  <c r="Z7" i="2" a="1"/>
  <c r="Z7" i="2" s="1"/>
  <c r="Z10" i="2" s="1"/>
  <c r="K6" i="1" a="1"/>
  <c r="K6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<sst xmlns="http://schemas.openxmlformats.org/spreadsheetml/2006/main" count="240" uniqueCount="78">
  <si>
    <t>Equities</t>
  </si>
  <si>
    <t>Bonds</t>
  </si>
  <si>
    <t>Cash</t>
  </si>
  <si>
    <t>Expected return</t>
  </si>
  <si>
    <t>Covariance</t>
  </si>
  <si>
    <t>StDev</t>
  </si>
  <si>
    <t>Correl</t>
  </si>
  <si>
    <t>Assumptions:</t>
  </si>
  <si>
    <t>Expected returns are arithmetic</t>
  </si>
  <si>
    <t>Expected returns are after fund costs, and tax at 33|28%. But before advice and wrap fees.</t>
  </si>
  <si>
    <t>Covaraiance matrix is based on 1995-2025 windows</t>
  </si>
  <si>
    <t>Equity mix of Consilium 70/30 prorata'd up</t>
  </si>
  <si>
    <t>OCR minus 25 bps.</t>
  </si>
  <si>
    <t>Asset Class</t>
  </si>
  <si>
    <t>Tax Structure</t>
  </si>
  <si>
    <t>Gross E[R]</t>
  </si>
  <si>
    <t>TER</t>
  </si>
  <si>
    <t>Foreign Tax Slippage</t>
  </si>
  <si>
    <t>FX Rebalancing Cost</t>
  </si>
  <si>
    <t>Brokerage Cost</t>
  </si>
  <si>
    <t>Expected Volatility</t>
  </si>
  <si>
    <t>HARNZISF</t>
  </si>
  <si>
    <t>Harbour NZ Index Shares Fund</t>
  </si>
  <si>
    <t>Equity</t>
  </si>
  <si>
    <t>New Zealand equities</t>
  </si>
  <si>
    <t>PIE</t>
  </si>
  <si>
    <t>KWLNZ9</t>
  </si>
  <si>
    <t>Kernel NZ Small &amp; Mid Cap Opportunities Fund</t>
  </si>
  <si>
    <t>DFA0003.AU</t>
  </si>
  <si>
    <t>Dimensional Australian Core Equity Trust</t>
  </si>
  <si>
    <t>Australian equities</t>
  </si>
  <si>
    <t>AUT</t>
  </si>
  <si>
    <t>DFA0101.AU</t>
  </si>
  <si>
    <t>Dimensional Australian Value Trust</t>
  </si>
  <si>
    <t>DFA0104.AU</t>
  </si>
  <si>
    <t>Dimensional Australian Small Company Trust</t>
  </si>
  <si>
    <t>DFA0039</t>
  </si>
  <si>
    <t>Dimensional Global Core Equity Trust (NZD)</t>
  </si>
  <si>
    <t>Developed market equities</t>
  </si>
  <si>
    <t>ESTFF</t>
  </si>
  <si>
    <t>Evidential Sustainable Targeted Factor Fund</t>
  </si>
  <si>
    <t>RIFSGSH</t>
  </si>
  <si>
    <t>Russell Investments Hedged Sustainable Global Shares Fund (NZD)</t>
  </si>
  <si>
    <t>ACWI equities</t>
  </si>
  <si>
    <t>RIFSGS</t>
  </si>
  <si>
    <t>Russell Investments Sustainable Global Shares Fund</t>
  </si>
  <si>
    <t>DFA0107.AU</t>
  </si>
  <si>
    <t>Dimensional Emerging Markets Value Trust</t>
  </si>
  <si>
    <t>Emerging market equities</t>
  </si>
  <si>
    <t>ABACUS5</t>
  </si>
  <si>
    <t>Harbour NZ Corporate Bond Fund</t>
  </si>
  <si>
    <t>Fixed Income</t>
  </si>
  <si>
    <t>New Zealand fixed interest</t>
  </si>
  <si>
    <t>DIM2YFI</t>
  </si>
  <si>
    <t>Dimensional Two-Year Sustainability Fixed Interest PIE</t>
  </si>
  <si>
    <t>International fixed interest</t>
  </si>
  <si>
    <t>DIM5YFI</t>
  </si>
  <si>
    <t>Dimensional Five-Year Diversified Fixed Interest PIE</t>
  </si>
  <si>
    <t>ESGBF</t>
  </si>
  <si>
    <t>Evidential Sustainable Global Bond Fund (NZD)</t>
  </si>
  <si>
    <t>OCR.25</t>
  </si>
  <si>
    <t>OCR Less 25bps</t>
  </si>
  <si>
    <t>Cash and Cash Equivalences</t>
  </si>
  <si>
    <t>Cash and cash equivalents</t>
  </si>
  <si>
    <t>Domestic tax @ 28|33</t>
  </si>
  <si>
    <t>Net ER</t>
  </si>
  <si>
    <t>ERs</t>
  </si>
  <si>
    <t>Equity Only</t>
  </si>
  <si>
    <t>Bond Only</t>
  </si>
  <si>
    <t>Bond fund mix of Consilium 70/30 prorata'd up</t>
  </si>
  <si>
    <t>Fixed Income Home Bias</t>
  </si>
  <si>
    <t>ER</t>
  </si>
  <si>
    <t>Fund CoVar (MONTHLY)</t>
  </si>
  <si>
    <t>eg 70/30</t>
  </si>
  <si>
    <t>Fund CoVar (Annualised)</t>
  </si>
  <si>
    <t>yay!</t>
  </si>
  <si>
    <t>constant weights assumes more risk, and higher Ers</t>
  </si>
  <si>
    <t>Covaraiance matrix is on an annualised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</si>
</sst>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7F7F7F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2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5" fontId="2" fillId="0" borderId="10" xfId="1" applyNumberFormat="1" applyFont="1" applyFill="1" applyBorder="1" applyAlignment="1">
      <alignment horizontal="center"/>
    </xf>
    <xf numFmtId="10" fontId="0" fillId="0" borderId="0" xfId="1" applyNumberFormat="1" applyFont="1" applyBorder="1" applyAlignment="1">
      <alignment horizontal="center" vertical="center"/>
    </xf>
    <xf numFmtId="10" fontId="0" fillId="0" borderId="0" xfId="0" applyNumberFormat="1"/>
    <xf numFmtId="10" fontId="0" fillId="3" borderId="0" xfId="0" applyNumberFormat="1" applyFill="1"/>
    <xf numFmtId="165" fontId="0" fillId="0" borderId="0" xfId="0" applyNumberFormat="1"/>
    <xf numFmtId="9" fontId="0" fillId="0" borderId="0" xfId="1" applyFont="1"/>
    <xf numFmtId="0" fontId="0" fillId="0" borderId="0" xfId="0" applyAlignment="1">
      <alignment horizontal="right"/>
    </xf>
    <xf numFmtId="0" fontId="2" fillId="0" borderId="10" xfId="1" applyNumberFormat="1" applyFont="1" applyFill="1" applyBorder="1" applyAlignment="1">
      <alignment horizontal="center"/>
    </xf>
    <xf numFmtId="0" fontId="2" fillId="2" borderId="1" xfId="2"/>
    <xf numFmtId="11" fontId="5" fillId="0" borderId="0" xfId="0" applyNumberFormat="1" applyFont="1"/>
    <xf numFmtId="10" fontId="2" fillId="2" borderId="1" xfId="2" applyNumberFormat="1" applyAlignment="1">
      <alignment horizontal="center" vertical="center"/>
    </xf>
    <xf numFmtId="165" fontId="2" fillId="2" borderId="1" xfId="2" applyNumberFormat="1" applyAlignment="1">
      <alignment horizontal="center"/>
    </xf>
    <xf numFmtId="10" fontId="5" fillId="0" borderId="0" xfId="1" applyNumberFormat="1" applyFont="1"/>
    <xf numFmtId="0" fontId="0" fillId="3" borderId="0" xfId="0" applyFill="1"/>
    <xf numFmtId="0" fontId="4" fillId="0" borderId="0" xfId="0" applyFont="1" applyAlignment="1">
      <alignment horizontal="center" vertical="top" wrapText="1"/>
    </xf>
    <xf numFmtId="165" fontId="0" fillId="0" borderId="0" xfId="1" applyNumberFormat="1" applyFont="1"/>
    <xf numFmtId="0" fontId="3" fillId="0" borderId="0" xfId="0" applyFont="1"/>
  </cellXfs>
  <cellStyles count="3">
    <cellStyle name="Input" xfId="2" builtinId="20"/>
    <cellStyle name="Normal" xfId="0" builtinId="0"/>
    <cellStyle name="Percent" xfId="1" builtinId="5"/>
  </cellStyles>
  <dxfs count="13">
    <dxf>
      <numFmt numFmtId="164" formatCode="\-"/>
    </dxf>
    <dxf>
      <numFmt numFmtId="164" formatCode="\-"/>
    </dxf>
    <dxf>
      <numFmt numFmtId="164" formatCode="\-"/>
    </dxf>
    <dxf>
      <numFmt numFmtId="164" formatCode="\-"/>
    </dxf>
    <dxf>
      <numFmt numFmtId="164" formatCode="\-"/>
    </dxf>
    <dxf>
      <numFmt numFmtId="164" formatCode="\-"/>
    </dxf>
    <dxf>
      <numFmt numFmtId="164" formatCode="\-"/>
    </dxf>
    <dxf>
      <numFmt numFmtId="164" formatCode="\-"/>
    </dxf>
    <dxf>
      <numFmt numFmtId="164" formatCode="\-"/>
    </dxf>
    <dxf>
      <numFmt numFmtId="164" formatCode="\-"/>
    </dxf>
    <dxf>
      <numFmt numFmtId="164" formatCode="\-"/>
    </dxf>
    <dxf>
      <numFmt numFmtId="164" formatCode="\-"/>
    </dxf>
    <dxf>
      <numFmt numFmtId="164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447675</xdr:colOff>
      <xdr:row>1</xdr:row>
      <xdr:rowOff>0</xdr:rowOff>
    </xdr:from>
    <xdr:to>
      <xdr:col>33</xdr:col>
      <xdr:colOff>0</xdr:colOff>
      <xdr:row>9</xdr:row>
      <xdr:rowOff>7913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1BA50E-8533-76DC-58CD-9AB029AE8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49575" y="200025"/>
          <a:ext cx="3057525" cy="15414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447675</xdr:colOff>
      <xdr:row>1</xdr:row>
      <xdr:rowOff>0</xdr:rowOff>
    </xdr:from>
    <xdr:to>
      <xdr:col>33</xdr:col>
      <xdr:colOff>0</xdr:colOff>
      <xdr:row>9</xdr:row>
      <xdr:rowOff>131738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5DA33A-7999-450E-8100-C240AAB6F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49575" y="200025"/>
          <a:ext cx="3057525" cy="15414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68F18-3D27-417A-9888-A51785D85DE3}">
  <dimension ref="A1:BI46"/>
  <sheetViews>
    <sheetView tabSelected="1" workbookViewId="0">
      <selection activeCell="B1" sqref="B1:G4"/>
    </sheetView>
  </sheetViews>
  <sheetFormatPr defaultRowHeight="15" x14ac:dyDescent="0.25"/>
  <cols>
    <col min="1" max="1" width="5.140625" customWidth="1"/>
    <col min="14" max="24" width="8" customWidth="1"/>
    <col min="26" max="29" width="8" customWidth="1"/>
    <col min="47" max="49" width="12.7109375" bestFit="1" customWidth="1"/>
    <col min="50" max="50" width="9.28515625" bestFit="1" customWidth="1"/>
    <col min="51" max="54" width="12.7109375" bestFit="1" customWidth="1"/>
    <col min="55" max="55" width="11.7109375" bestFit="1" customWidth="1"/>
    <col min="56" max="56" width="12.7109375" bestFit="1" customWidth="1"/>
    <col min="57" max="57" width="12" bestFit="1" customWidth="1"/>
    <col min="58" max="61" width="12.7109375" bestFit="1" customWidth="1"/>
  </cols>
  <sheetData>
    <row r="1" spans="2:27" ht="15.75" thickBot="1" x14ac:dyDescent="0.3">
      <c r="B1" s="23"/>
      <c r="C1" s="23" t="s">
        <v>3</v>
      </c>
      <c r="D1" s="23"/>
      <c r="E1" s="23" t="s">
        <v>4</v>
      </c>
      <c r="F1" s="23"/>
      <c r="G1" s="23"/>
      <c r="I1" t="s">
        <v>5</v>
      </c>
      <c r="K1" t="s">
        <v>6</v>
      </c>
      <c r="P1" t="s">
        <v>73</v>
      </c>
      <c r="S1" cm="1">
        <f t="array" ref="S1:AA1">N19:V19</f>
        <v>2080</v>
      </c>
      <c r="T1">
        <v>3070</v>
      </c>
      <c r="U1">
        <v>4060</v>
      </c>
      <c r="V1">
        <v>5050</v>
      </c>
      <c r="W1">
        <v>6040</v>
      </c>
      <c r="X1">
        <v>7030</v>
      </c>
      <c r="Y1">
        <v>8020</v>
      </c>
      <c r="Z1">
        <v>9010</v>
      </c>
      <c r="AA1">
        <v>9802</v>
      </c>
    </row>
    <row r="2" spans="2:27" x14ac:dyDescent="0.25">
      <c r="B2" s="23" t="s">
        <v>0</v>
      </c>
      <c r="C2" s="13" cm="1">
        <f t="array" ref="C2:C4">TRANSPOSE(Z37:AB37)</f>
        <v>7.8725294268631313E-2</v>
      </c>
      <c r="D2" s="23"/>
      <c r="E2" s="23">
        <f>Z41</f>
        <v>1.4579039605430388E-2</v>
      </c>
      <c r="F2" s="23">
        <f t="shared" ref="F2:G4" si="0">AA41</f>
        <v>1.8950226700496965E-4</v>
      </c>
      <c r="G2" s="23">
        <f t="shared" si="0"/>
        <v>-2.3101998375407169E-5</v>
      </c>
      <c r="I2" s="25" cm="1">
        <f t="array" ref="I2:I4">TRANSPOSE(Z38:AB38)</f>
        <v>0.12074369385367663</v>
      </c>
      <c r="K2" s="1">
        <f>E2/$I2/K$6</f>
        <v>1.0000000000000002</v>
      </c>
      <c r="L2" s="2">
        <f t="shared" ref="L2:L4" si="1">F2/$I2/L$6</f>
        <v>4.8789053252044315E-2</v>
      </c>
      <c r="M2" s="3">
        <f t="shared" ref="M2:M4" si="2">G2/$I2/M$6</f>
        <v>-2.5547969567592369E-2</v>
      </c>
      <c r="P2" s="10">
        <v>0.7</v>
      </c>
      <c r="S2" s="14">
        <f>SUM(N20:N29)</f>
        <v>0.19999999999999998</v>
      </c>
      <c r="T2" s="14">
        <f t="shared" ref="T2:AA2" si="3">SUM(O20:O29)</f>
        <v>0.30000000000000004</v>
      </c>
      <c r="U2" s="14">
        <f t="shared" si="3"/>
        <v>0.4</v>
      </c>
      <c r="V2" s="14">
        <f t="shared" si="3"/>
        <v>0.5</v>
      </c>
      <c r="W2" s="14">
        <f t="shared" si="3"/>
        <v>0.6</v>
      </c>
      <c r="X2" s="14">
        <f t="shared" si="3"/>
        <v>0.7</v>
      </c>
      <c r="Y2" s="14">
        <f t="shared" si="3"/>
        <v>0.8</v>
      </c>
      <c r="Z2" s="14">
        <f t="shared" si="3"/>
        <v>0.90000000000000013</v>
      </c>
      <c r="AA2" s="14">
        <f t="shared" si="3"/>
        <v>0.98</v>
      </c>
    </row>
    <row r="3" spans="2:27" x14ac:dyDescent="0.25">
      <c r="B3" s="23" t="s">
        <v>1</v>
      </c>
      <c r="C3" s="13">
        <v>2.8473464285714283E-2</v>
      </c>
      <c r="D3" s="23"/>
      <c r="E3" s="23">
        <f t="shared" ref="E3:E4" si="4">Z42</f>
        <v>1.8950226700496973E-4</v>
      </c>
      <c r="F3" s="23">
        <f t="shared" si="0"/>
        <v>1.0347969078548258E-3</v>
      </c>
      <c r="G3" s="23">
        <f t="shared" si="0"/>
        <v>7.8758244913999109E-5</v>
      </c>
      <c r="I3" s="25">
        <v>3.216825932273653E-2</v>
      </c>
      <c r="K3" s="4">
        <f t="shared" ref="K3:K4" si="5">E3/$I3/K$6</f>
        <v>4.8789053252044336E-2</v>
      </c>
      <c r="L3" s="5">
        <f t="shared" si="1"/>
        <v>1</v>
      </c>
      <c r="M3" s="6">
        <f t="shared" si="2"/>
        <v>0.32691870315895061</v>
      </c>
      <c r="P3" s="10">
        <v>0.28000000000000003</v>
      </c>
      <c r="S3" s="14">
        <f>SUM(N30:N33)</f>
        <v>0.78</v>
      </c>
      <c r="T3" s="14">
        <f t="shared" ref="T3:AA3" si="6">SUM(O30:O33)</f>
        <v>0.68</v>
      </c>
      <c r="U3" s="14">
        <f t="shared" si="6"/>
        <v>0.58000000000000007</v>
      </c>
      <c r="V3" s="14">
        <f t="shared" si="6"/>
        <v>0.48</v>
      </c>
      <c r="W3" s="14">
        <f t="shared" si="6"/>
        <v>0.38</v>
      </c>
      <c r="X3" s="14">
        <f t="shared" si="6"/>
        <v>0.28000000000000003</v>
      </c>
      <c r="Y3" s="14">
        <f t="shared" si="6"/>
        <v>0.18</v>
      </c>
      <c r="Z3" s="14">
        <f t="shared" si="6"/>
        <v>0.08</v>
      </c>
      <c r="AA3" s="14">
        <f t="shared" si="6"/>
        <v>0</v>
      </c>
    </row>
    <row r="4" spans="2:27" ht="15.75" thickBot="1" x14ac:dyDescent="0.3">
      <c r="B4" s="23" t="s">
        <v>2</v>
      </c>
      <c r="C4" s="13">
        <v>1.2395000000000002E-2</v>
      </c>
      <c r="D4" s="23"/>
      <c r="E4" s="23">
        <f t="shared" si="4"/>
        <v>-2.3101998375407169E-5</v>
      </c>
      <c r="F4" s="23">
        <f t="shared" si="0"/>
        <v>7.8758244913999109E-5</v>
      </c>
      <c r="G4" s="23">
        <f t="shared" si="0"/>
        <v>5.6086378935062214E-5</v>
      </c>
      <c r="I4" s="25">
        <v>7.489083985045315E-3</v>
      </c>
      <c r="K4" s="7">
        <f t="shared" si="5"/>
        <v>-2.5547969567592369E-2</v>
      </c>
      <c r="L4" s="8">
        <f t="shared" si="1"/>
        <v>0.32691870315895066</v>
      </c>
      <c r="M4" s="9">
        <f t="shared" si="2"/>
        <v>1</v>
      </c>
      <c r="P4" s="10">
        <v>0.02</v>
      </c>
      <c r="S4" s="14">
        <f>N34</f>
        <v>0.02</v>
      </c>
      <c r="T4" s="14">
        <f t="shared" ref="T4:AA4" si="7">O34</f>
        <v>0.02</v>
      </c>
      <c r="U4" s="14">
        <f t="shared" si="7"/>
        <v>0.02</v>
      </c>
      <c r="V4" s="14">
        <f t="shared" si="7"/>
        <v>0.02</v>
      </c>
      <c r="W4" s="14">
        <f t="shared" si="7"/>
        <v>0.02</v>
      </c>
      <c r="X4" s="14">
        <f t="shared" si="7"/>
        <v>0.02</v>
      </c>
      <c r="Y4" s="14">
        <f t="shared" si="7"/>
        <v>0.02</v>
      </c>
      <c r="Z4" s="14">
        <f t="shared" si="7"/>
        <v>0.02</v>
      </c>
      <c r="AA4" s="14">
        <f t="shared" si="7"/>
        <v>0.02</v>
      </c>
    </row>
    <row r="6" spans="2:27" x14ac:dyDescent="0.25">
      <c r="K6" cm="1">
        <f t="array" ref="K6:M6">TRANSPOSE(_xlfn.ANCHORARRAY(I2))</f>
        <v>0.12074369385367663</v>
      </c>
      <c r="L6">
        <v>3.216825932273653E-2</v>
      </c>
      <c r="M6">
        <v>7.489083985045315E-3</v>
      </c>
      <c r="O6" t="s">
        <v>71</v>
      </c>
      <c r="P6" s="12">
        <f>SUMPRODUCT(_xlfn.ANCHORARRAY($C$2),P2:P4)</f>
        <v>6.3328175988041913E-2</v>
      </c>
      <c r="S6" s="12">
        <f>SUMPRODUCT(_xlfn.ANCHORARRAY($C$2),S2:S4)</f>
        <v>3.8202260996583408E-2</v>
      </c>
      <c r="T6" s="12">
        <f t="shared" ref="T6:AA6" si="8">SUMPRODUCT(_xlfn.ANCHORARRAY($C$2),T2:T4)</f>
        <v>4.322744399487511E-2</v>
      </c>
      <c r="U6" s="12">
        <f t="shared" si="8"/>
        <v>4.8252626993166813E-2</v>
      </c>
      <c r="V6" s="12">
        <f t="shared" si="8"/>
        <v>5.3277809991458515E-2</v>
      </c>
      <c r="W6" s="12">
        <f t="shared" si="8"/>
        <v>5.8302992989750217E-2</v>
      </c>
      <c r="X6" s="12">
        <f t="shared" si="8"/>
        <v>6.3328175988041913E-2</v>
      </c>
      <c r="Y6" s="12">
        <f t="shared" si="8"/>
        <v>6.8353358986333615E-2</v>
      </c>
      <c r="Z6" s="12">
        <f t="shared" si="8"/>
        <v>7.3378541984625331E-2</v>
      </c>
      <c r="AA6" s="12">
        <f t="shared" si="8"/>
        <v>7.7398688383258682E-2</v>
      </c>
    </row>
    <row r="7" spans="2:27" x14ac:dyDescent="0.25">
      <c r="B7" s="26" t="s">
        <v>7</v>
      </c>
      <c r="C7" s="26"/>
      <c r="D7" s="26"/>
      <c r="E7" s="26"/>
      <c r="O7" t="s">
        <v>5</v>
      </c>
      <c r="P7" s="12" cm="1">
        <f t="array" ref="P7">SQRT(MMULT(TRANSPOSE(P2:P4), MMULT($E$2:$G$4,P2:P4)))</f>
        <v>8.5436526403188662E-2</v>
      </c>
      <c r="S7" s="12" cm="1">
        <f t="array" ref="S7">SQRT(MMULT(TRANSPOSE(S2:S4), MMULT($E$2:$G$4,S2:S4)))</f>
        <v>3.5695260274545268E-2</v>
      </c>
      <c r="T7" s="12" cm="1">
        <f t="array" ref="T7">SQRT(MMULT(TRANSPOSE(T2:T4), MMULT($E$2:$G$4,T2:T4)))</f>
        <v>4.324127674400427E-2</v>
      </c>
      <c r="U7" s="12" cm="1">
        <f t="array" ref="U7">SQRT(MMULT(TRANSPOSE(U2:U4), MMULT($E$2:$G$4,U2:U4)))</f>
        <v>5.2632319561473864E-2</v>
      </c>
      <c r="V7" s="12" cm="1">
        <f t="array" ref="V7">SQRT(MMULT(TRANSPOSE(V2:V4), MMULT($E$2:$G$4,V2:V4)))</f>
        <v>6.3049272398467443E-2</v>
      </c>
      <c r="W7" s="12" cm="1">
        <f t="array" ref="W7">SQRT(MMULT(TRANSPOSE(W2:W4), MMULT($E$2:$G$4,W2:W4)))</f>
        <v>7.4060496063128686E-2</v>
      </c>
      <c r="X7" s="12" cm="1">
        <f t="array" ref="X7">SQRT(MMULT(TRANSPOSE(X2:X4), MMULT($E$2:$G$4,X2:X4)))</f>
        <v>8.5436526403188662E-2</v>
      </c>
      <c r="Y7" s="12" cm="1">
        <f t="array" ref="Y7">SQRT(MMULT(TRANSPOSE(Y2:Y4), MMULT($E$2:$G$4,Y2:Y4)))</f>
        <v>9.7049160996653228E-2</v>
      </c>
      <c r="Z7" s="12" cm="1">
        <f t="array" ref="Z7">SQRT(MMULT(TRANSPOSE(Z2:Z4), MMULT($E$2:$G$4,Z2:Z4)))</f>
        <v>0.10882268098173005</v>
      </c>
      <c r="AA7" s="12" cm="1">
        <f t="array" ref="AA7">SQRT(MMULT(TRANSPOSE(AA2:AA4), MMULT($E$2:$G$4,AA2:AA4)))</f>
        <v>0.11832508809745548</v>
      </c>
    </row>
    <row r="8" spans="2:27" x14ac:dyDescent="0.25">
      <c r="B8" s="26" t="s">
        <v>8</v>
      </c>
      <c r="C8" s="26"/>
      <c r="D8" s="26"/>
      <c r="E8" s="26"/>
    </row>
    <row r="9" spans="2:27" x14ac:dyDescent="0.25">
      <c r="B9" s="26" t="s">
        <v>9</v>
      </c>
      <c r="C9" s="26"/>
      <c r="D9" s="26"/>
      <c r="E9" s="26"/>
      <c r="P9" s="19">
        <f>P7-S38</f>
        <v>0</v>
      </c>
      <c r="S9" s="22">
        <f t="shared" ref="S9:W9" si="9">S6-N37</f>
        <v>5.1631978142223783E-3</v>
      </c>
      <c r="T9" s="22">
        <f t="shared" si="9"/>
        <v>4.2821975169238316E-3</v>
      </c>
      <c r="U9" s="22">
        <f t="shared" si="9"/>
        <v>3.1785809240350224E-3</v>
      </c>
      <c r="V9" s="22">
        <f t="shared" si="9"/>
        <v>1.6375518206721215E-3</v>
      </c>
      <c r="W9" s="22">
        <f t="shared" si="9"/>
        <v>7.7399530932636268E-4</v>
      </c>
      <c r="X9" s="22">
        <f>X6-S37</f>
        <v>0</v>
      </c>
      <c r="Y9" s="22">
        <f t="shared" ref="Y9:Y10" si="10">Y6-T37</f>
        <v>-5.9859256828867502E-4</v>
      </c>
      <c r="Z9" s="22">
        <f t="shared" ref="Z9:Z10" si="11">Z6-U37</f>
        <v>-1.0229600931545568E-3</v>
      </c>
      <c r="AA9" s="22">
        <f t="shared" ref="AA9:AA10" si="12">AA6-V37</f>
        <v>-1.0561027356034147E-3</v>
      </c>
    </row>
    <row r="10" spans="2:27" x14ac:dyDescent="0.25">
      <c r="B10" s="26" t="s">
        <v>10</v>
      </c>
      <c r="C10" s="26"/>
      <c r="D10" s="26"/>
      <c r="E10" s="26"/>
      <c r="P10" t="s">
        <v>75</v>
      </c>
      <c r="S10" s="22">
        <f t="shared" ref="S10:W10" si="13">S7-N38</f>
        <v>7.1842830676297834E-3</v>
      </c>
      <c r="T10" s="22">
        <f t="shared" si="13"/>
        <v>4.7427692234273677E-3</v>
      </c>
      <c r="U10" s="22">
        <f t="shared" si="13"/>
        <v>2.9710874797073197E-3</v>
      </c>
      <c r="V10" s="22">
        <f t="shared" si="13"/>
        <v>1.3650339205626971E-3</v>
      </c>
      <c r="W10" s="22">
        <f t="shared" si="13"/>
        <v>7.5104528928823799E-4</v>
      </c>
      <c r="X10" s="22">
        <f>X7-S38</f>
        <v>0</v>
      </c>
      <c r="Y10" s="22">
        <f t="shared" si="10"/>
        <v>-1.2967310948929084E-3</v>
      </c>
      <c r="Z10" s="22">
        <f t="shared" si="11"/>
        <v>-3.0104521008803287E-3</v>
      </c>
      <c r="AA10" s="22">
        <f t="shared" si="12"/>
        <v>-4.8167026926344003E-3</v>
      </c>
    </row>
    <row r="11" spans="2:27" x14ac:dyDescent="0.25">
      <c r="B11" s="26" t="s">
        <v>77</v>
      </c>
      <c r="E11" s="26"/>
      <c r="S11" s="24" t="s">
        <v>76</v>
      </c>
      <c r="X11" t="s">
        <v>75</v>
      </c>
    </row>
    <row r="12" spans="2:27" x14ac:dyDescent="0.25">
      <c r="B12" s="26" t="s">
        <v>0</v>
      </c>
      <c r="C12" s="26" t="s">
        <v>11</v>
      </c>
      <c r="D12" s="26"/>
      <c r="E12" s="26"/>
      <c r="S12" s="24"/>
    </row>
    <row r="13" spans="2:27" x14ac:dyDescent="0.25">
      <c r="B13" s="26" t="s">
        <v>1</v>
      </c>
      <c r="C13" s="26" t="s">
        <v>69</v>
      </c>
      <c r="D13" s="26"/>
      <c r="E13" s="26"/>
      <c r="S13" s="24"/>
    </row>
    <row r="14" spans="2:27" x14ac:dyDescent="0.25">
      <c r="B14" s="26" t="s">
        <v>2</v>
      </c>
      <c r="C14" s="26" t="s">
        <v>12</v>
      </c>
      <c r="D14" s="26"/>
      <c r="E14" s="26"/>
      <c r="S14" s="24"/>
    </row>
    <row r="15" spans="2:27" x14ac:dyDescent="0.25">
      <c r="B15" s="26"/>
      <c r="C15" s="26"/>
      <c r="D15" s="26"/>
      <c r="E15" s="26"/>
      <c r="S15" s="24"/>
    </row>
    <row r="16" spans="2:27" x14ac:dyDescent="0.25">
      <c r="B16" s="26"/>
      <c r="C16" s="26"/>
      <c r="D16" s="26"/>
      <c r="E16" s="26"/>
      <c r="S16" s="24"/>
    </row>
    <row r="19" spans="1:61" x14ac:dyDescent="0.25">
      <c r="E19" t="s">
        <v>13</v>
      </c>
      <c r="F19" t="s">
        <v>14</v>
      </c>
      <c r="G19" t="s">
        <v>15</v>
      </c>
      <c r="H19" t="s">
        <v>16</v>
      </c>
      <c r="I19" t="s">
        <v>17</v>
      </c>
      <c r="J19" t="s">
        <v>18</v>
      </c>
      <c r="K19" t="s">
        <v>19</v>
      </c>
      <c r="L19" t="s">
        <v>64</v>
      </c>
      <c r="M19" t="s">
        <v>65</v>
      </c>
      <c r="N19">
        <v>2080</v>
      </c>
      <c r="O19">
        <v>3070</v>
      </c>
      <c r="P19">
        <v>4060</v>
      </c>
      <c r="Q19">
        <v>5050</v>
      </c>
      <c r="R19">
        <v>6040</v>
      </c>
      <c r="S19">
        <v>7030</v>
      </c>
      <c r="T19">
        <v>8020</v>
      </c>
      <c r="U19">
        <v>9010</v>
      </c>
      <c r="V19">
        <v>9802</v>
      </c>
      <c r="X19" t="s">
        <v>20</v>
      </c>
      <c r="Z19" t="str" cm="1">
        <f t="array" ref="Z19:AB19">TRANSPOSE(B2:B4)</f>
        <v>Equities</v>
      </c>
      <c r="AA19" t="str">
        <v>Bonds</v>
      </c>
      <c r="AB19" t="str">
        <v>Cash</v>
      </c>
      <c r="AE19" t="s">
        <v>74</v>
      </c>
      <c r="AU19" t="s">
        <v>72</v>
      </c>
    </row>
    <row r="20" spans="1:61" x14ac:dyDescent="0.25">
      <c r="A20" cm="1">
        <f t="array" ref="A20:A34">_xlfn.SEQUENCE(COUNTA(B20:B34))</f>
        <v>1</v>
      </c>
      <c r="B20" t="s">
        <v>21</v>
      </c>
      <c r="C20" t="s">
        <v>22</v>
      </c>
      <c r="D20" t="s">
        <v>23</v>
      </c>
      <c r="E20" t="s">
        <v>24</v>
      </c>
      <c r="F20" t="s">
        <v>25</v>
      </c>
      <c r="G20" s="20">
        <v>8.6750000000000008E-2</v>
      </c>
      <c r="H20" s="20">
        <v>8.9999999999999998E-4</v>
      </c>
      <c r="I20" s="20">
        <v>0</v>
      </c>
      <c r="J20" s="20">
        <v>0</v>
      </c>
      <c r="K20" s="20">
        <v>0</v>
      </c>
      <c r="L20" s="20">
        <v>2.0230000000000018E-3</v>
      </c>
      <c r="M20" s="12">
        <f>G20-SUM(H20:L20)</f>
        <v>8.3827000000000013E-2</v>
      </c>
      <c r="N20" s="21">
        <v>0.05</v>
      </c>
      <c r="O20" s="21">
        <v>7.4999999999999997E-2</v>
      </c>
      <c r="P20" s="21">
        <v>9.5000000000000001E-2</v>
      </c>
      <c r="Q20" s="21">
        <v>0.115</v>
      </c>
      <c r="R20" s="21">
        <v>0.13500000000000001</v>
      </c>
      <c r="S20" s="21">
        <v>0.15</v>
      </c>
      <c r="T20" s="21">
        <v>0.15</v>
      </c>
      <c r="U20" s="21">
        <v>0.15</v>
      </c>
      <c r="V20" s="21">
        <v>0.15</v>
      </c>
      <c r="X20" s="11" cm="1">
        <f t="array" ref="X20">SQRT(INDEX(AE20:AS20,A20))</f>
        <v>0.12572215823425112</v>
      </c>
      <c r="Z20" s="10" cm="1">
        <f t="array" ref="Z20:Z29">S20:S29/SUM(S20:S29)</f>
        <v>0.2142857142857143</v>
      </c>
      <c r="AA20" s="10">
        <v>0</v>
      </c>
      <c r="AB20" s="10">
        <v>0</v>
      </c>
      <c r="AE20">
        <f>AU20*12</f>
        <v>1.5806061071078077E-2</v>
      </c>
      <c r="AF20">
        <f t="shared" ref="AF20:AS34" si="14">AV20*12</f>
        <v>2.0419580780172905E-2</v>
      </c>
      <c r="AG20">
        <f t="shared" si="14"/>
        <v>1.1978656120403521E-2</v>
      </c>
      <c r="AH20">
        <f t="shared" si="14"/>
        <v>1.2253367449891712E-2</v>
      </c>
      <c r="AI20">
        <f t="shared" si="14"/>
        <v>1.3617734464435833E-2</v>
      </c>
      <c r="AJ20">
        <f t="shared" si="14"/>
        <v>1.1510415288163513E-2</v>
      </c>
      <c r="AK20">
        <f t="shared" si="14"/>
        <v>8.9164076857883943E-3</v>
      </c>
      <c r="AL20">
        <f t="shared" si="14"/>
        <v>8.4688325947766749E-3</v>
      </c>
      <c r="AM20">
        <f t="shared" si="14"/>
        <v>7.7914569135329112E-3</v>
      </c>
      <c r="AN20">
        <f t="shared" si="14"/>
        <v>1.0382280244060051E-2</v>
      </c>
      <c r="AO20">
        <f t="shared" si="14"/>
        <v>5.8406486674868088E-4</v>
      </c>
      <c r="AP20">
        <f t="shared" si="14"/>
        <v>2.1153415417675173E-5</v>
      </c>
      <c r="AQ20">
        <f t="shared" si="14"/>
        <v>1.9966188667622502E-4</v>
      </c>
      <c r="AR20">
        <f t="shared" si="14"/>
        <v>8.464472727340651E-4</v>
      </c>
      <c r="AS20">
        <f t="shared" si="14"/>
        <v>-6.4393317789959568E-5</v>
      </c>
      <c r="AU20" s="18">
        <v>1.3171717559231732E-3</v>
      </c>
      <c r="AV20" s="18">
        <v>1.7016317316810754E-3</v>
      </c>
      <c r="AW20" s="18">
        <v>9.9822134336696017E-4</v>
      </c>
      <c r="AX20" s="18">
        <v>1.0211139541576426E-3</v>
      </c>
      <c r="AY20" s="18">
        <v>1.1348112053696528E-3</v>
      </c>
      <c r="AZ20" s="18">
        <v>9.5920127401362605E-4</v>
      </c>
      <c r="BA20" s="18">
        <v>7.4303397381569956E-4</v>
      </c>
      <c r="BB20" s="18">
        <v>7.0573604956472287E-4</v>
      </c>
      <c r="BC20" s="18">
        <v>6.492880761277426E-4</v>
      </c>
      <c r="BD20" s="18">
        <v>8.6519002033833752E-4</v>
      </c>
      <c r="BE20" s="18">
        <v>4.8672072229056738E-5</v>
      </c>
      <c r="BF20" s="18">
        <v>1.7627846181395978E-6</v>
      </c>
      <c r="BG20" s="18">
        <v>1.6638490556352086E-5</v>
      </c>
      <c r="BH20" s="18">
        <v>7.0537272727838759E-5</v>
      </c>
      <c r="BI20" s="18">
        <v>-5.3661098158299634E-6</v>
      </c>
    </row>
    <row r="21" spans="1:61" x14ac:dyDescent="0.25">
      <c r="A21">
        <v>2</v>
      </c>
      <c r="B21" t="s">
        <v>26</v>
      </c>
      <c r="C21" t="s">
        <v>27</v>
      </c>
      <c r="D21" t="s">
        <v>23</v>
      </c>
      <c r="E21" t="s">
        <v>24</v>
      </c>
      <c r="F21" t="s">
        <v>25</v>
      </c>
      <c r="G21" s="20">
        <v>9.2999999999999999E-2</v>
      </c>
      <c r="H21" s="20">
        <v>2.5000000000000001E-3</v>
      </c>
      <c r="I21" s="20">
        <v>0</v>
      </c>
      <c r="J21" s="20">
        <v>0</v>
      </c>
      <c r="K21" s="20">
        <v>0</v>
      </c>
      <c r="L21" s="20">
        <v>2.1600000000000005E-3</v>
      </c>
      <c r="M21" s="12">
        <f t="shared" ref="M21:M34" si="15">G21-SUM(H21:L21)</f>
        <v>8.8340000000000002E-2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0.02</v>
      </c>
      <c r="U21" s="21">
        <v>0.03</v>
      </c>
      <c r="V21" s="21">
        <v>0.04</v>
      </c>
      <c r="X21" s="11" cm="1">
        <f t="array" ref="X21">SQRT(INDEX(AE21:AS21,A21))</f>
        <v>0.16841813435706579</v>
      </c>
      <c r="Z21" s="10">
        <v>0</v>
      </c>
      <c r="AA21" s="10">
        <v>0</v>
      </c>
      <c r="AB21" s="10">
        <v>0</v>
      </c>
      <c r="AE21">
        <f t="shared" ref="AE21:AE34" si="16">AU21*12</f>
        <v>2.0419580780172905E-2</v>
      </c>
      <c r="AF21">
        <f t="shared" si="14"/>
        <v>2.8364667980314666E-2</v>
      </c>
      <c r="AG21">
        <f t="shared" si="14"/>
        <v>1.5815026955135193E-2</v>
      </c>
      <c r="AH21">
        <f t="shared" si="14"/>
        <v>1.6333214292254039E-2</v>
      </c>
      <c r="AI21">
        <f t="shared" si="14"/>
        <v>1.8070694488224542E-2</v>
      </c>
      <c r="AJ21">
        <f t="shared" si="14"/>
        <v>1.4896103491818845E-2</v>
      </c>
      <c r="AK21">
        <f t="shared" si="14"/>
        <v>1.1672514335072184E-2</v>
      </c>
      <c r="AL21">
        <f t="shared" si="14"/>
        <v>1.048825645892372E-2</v>
      </c>
      <c r="AM21">
        <f t="shared" si="14"/>
        <v>9.8505686305290358E-3</v>
      </c>
      <c r="AN21">
        <f t="shared" si="14"/>
        <v>1.4023664981876124E-2</v>
      </c>
      <c r="AO21">
        <f t="shared" si="14"/>
        <v>7.249614634276606E-4</v>
      </c>
      <c r="AP21">
        <f t="shared" si="14"/>
        <v>6.2572168099604301E-5</v>
      </c>
      <c r="AQ21">
        <f t="shared" si="14"/>
        <v>2.7595113654443323E-4</v>
      </c>
      <c r="AR21">
        <f t="shared" si="14"/>
        <v>1.0142413421293552E-3</v>
      </c>
      <c r="AS21">
        <f t="shared" si="14"/>
        <v>-4.8747296107546563E-5</v>
      </c>
      <c r="AU21" s="18">
        <v>1.7016317316810754E-3</v>
      </c>
      <c r="AV21" s="18">
        <v>2.3637223316928888E-3</v>
      </c>
      <c r="AW21" s="18">
        <v>1.3179189129279326E-3</v>
      </c>
      <c r="AX21" s="18">
        <v>1.3611011910211698E-3</v>
      </c>
      <c r="AY21" s="18">
        <v>1.5058912073520453E-3</v>
      </c>
      <c r="AZ21" s="18">
        <v>1.2413419576515704E-3</v>
      </c>
      <c r="BA21" s="18">
        <v>9.727095279226819E-4</v>
      </c>
      <c r="BB21" s="18">
        <v>8.7402137157697665E-4</v>
      </c>
      <c r="BC21" s="18">
        <v>8.2088071921075298E-4</v>
      </c>
      <c r="BD21" s="18">
        <v>1.168638748489677E-3</v>
      </c>
      <c r="BE21" s="18">
        <v>6.0413455285638386E-5</v>
      </c>
      <c r="BF21" s="18">
        <v>5.2143473416336915E-6</v>
      </c>
      <c r="BG21" s="18">
        <v>2.2995928045369437E-5</v>
      </c>
      <c r="BH21" s="18">
        <v>8.4520111844112921E-5</v>
      </c>
      <c r="BI21" s="18">
        <v>-4.0622746756288802E-6</v>
      </c>
    </row>
    <row r="22" spans="1:61" x14ac:dyDescent="0.25">
      <c r="A22">
        <v>3</v>
      </c>
      <c r="B22" t="s">
        <v>28</v>
      </c>
      <c r="C22" t="s">
        <v>29</v>
      </c>
      <c r="D22" t="s">
        <v>23</v>
      </c>
      <c r="E22" t="s">
        <v>30</v>
      </c>
      <c r="F22" t="s">
        <v>31</v>
      </c>
      <c r="G22" s="20">
        <v>8.6800000000000002E-2</v>
      </c>
      <c r="H22" s="20">
        <v>2.7900000000000004E-3</v>
      </c>
      <c r="I22" s="20">
        <v>0</v>
      </c>
      <c r="J22" s="20">
        <v>5.9645535105657809E-4</v>
      </c>
      <c r="K22" s="20">
        <v>1.8399999999999997E-4</v>
      </c>
      <c r="L22" s="20">
        <v>1.0685085530892386E-2</v>
      </c>
      <c r="M22" s="12">
        <f t="shared" si="15"/>
        <v>7.2544459118051033E-2</v>
      </c>
      <c r="N22" s="21">
        <v>0.02</v>
      </c>
      <c r="O22" s="21">
        <v>2.5000000000000001E-2</v>
      </c>
      <c r="P22" s="21">
        <v>3.5000000000000003E-2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X22" s="11" cm="1">
        <f t="array" ref="X22">SQRT(INDEX(AE22:AS22,A22))</f>
        <v>0.15187697481540013</v>
      </c>
      <c r="Z22" s="10">
        <v>0</v>
      </c>
      <c r="AA22" s="10">
        <v>0</v>
      </c>
      <c r="AB22" s="10">
        <v>0</v>
      </c>
      <c r="AE22">
        <f t="shared" si="16"/>
        <v>1.1978656120403521E-2</v>
      </c>
      <c r="AF22">
        <f t="shared" si="14"/>
        <v>1.5815026955135193E-2</v>
      </c>
      <c r="AG22">
        <f t="shared" si="14"/>
        <v>2.3066615479077686E-2</v>
      </c>
      <c r="AH22">
        <f t="shared" si="14"/>
        <v>2.3682254373219865E-2</v>
      </c>
      <c r="AI22">
        <f t="shared" si="14"/>
        <v>2.5305712203200402E-2</v>
      </c>
      <c r="AJ22">
        <f t="shared" si="14"/>
        <v>1.6063798524744318E-2</v>
      </c>
      <c r="AK22">
        <f t="shared" si="14"/>
        <v>1.5055288569984577E-2</v>
      </c>
      <c r="AL22">
        <f t="shared" si="14"/>
        <v>1.3538198677575112E-2</v>
      </c>
      <c r="AM22">
        <f t="shared" si="14"/>
        <v>1.2856856312817969E-2</v>
      </c>
      <c r="AN22">
        <f t="shared" si="14"/>
        <v>1.7923620081849997E-2</v>
      </c>
      <c r="AO22">
        <f t="shared" si="14"/>
        <v>4.0079570935953239E-4</v>
      </c>
      <c r="AP22">
        <f t="shared" si="14"/>
        <v>7.0947287627899671E-5</v>
      </c>
      <c r="AQ22">
        <f t="shared" si="14"/>
        <v>1.3126448417168654E-4</v>
      </c>
      <c r="AR22">
        <f t="shared" si="14"/>
        <v>9.7307621940011398E-4</v>
      </c>
      <c r="AS22">
        <f t="shared" si="14"/>
        <v>-5.039433632228535E-6</v>
      </c>
      <c r="AU22" s="18">
        <v>9.9822134336696017E-4</v>
      </c>
      <c r="AV22" s="18">
        <v>1.3179189129279326E-3</v>
      </c>
      <c r="AW22" s="18">
        <v>1.9222179565898071E-3</v>
      </c>
      <c r="AX22" s="18">
        <v>1.9735211977683219E-3</v>
      </c>
      <c r="AY22" s="18">
        <v>2.1088093502667003E-3</v>
      </c>
      <c r="AZ22" s="18">
        <v>1.3386498770620264E-3</v>
      </c>
      <c r="BA22" s="18">
        <v>1.254607380832048E-3</v>
      </c>
      <c r="BB22" s="18">
        <v>1.1281832231312594E-3</v>
      </c>
      <c r="BC22" s="18">
        <v>1.0714046927348308E-3</v>
      </c>
      <c r="BD22" s="18">
        <v>1.4936350068208331E-3</v>
      </c>
      <c r="BE22" s="18">
        <v>3.3399642446627699E-5</v>
      </c>
      <c r="BF22" s="18">
        <v>5.912273968991639E-6</v>
      </c>
      <c r="BG22" s="18">
        <v>1.0938707014307213E-5</v>
      </c>
      <c r="BH22" s="18">
        <v>8.1089684950009494E-5</v>
      </c>
      <c r="BI22" s="18">
        <v>-4.1995280268571123E-7</v>
      </c>
    </row>
    <row r="23" spans="1:61" x14ac:dyDescent="0.25">
      <c r="A23">
        <v>4</v>
      </c>
      <c r="B23" t="s">
        <v>32</v>
      </c>
      <c r="C23" t="s">
        <v>33</v>
      </c>
      <c r="D23" t="s">
        <v>23</v>
      </c>
      <c r="E23" t="s">
        <v>30</v>
      </c>
      <c r="F23" t="s">
        <v>31</v>
      </c>
      <c r="G23" s="20">
        <v>9.0800000000000006E-2</v>
      </c>
      <c r="H23" s="20">
        <v>3.3500000000000001E-3</v>
      </c>
      <c r="I23" s="20">
        <v>0</v>
      </c>
      <c r="J23" s="20">
        <v>5.9645535105657809E-4</v>
      </c>
      <c r="K23" s="20">
        <v>1.8399999999999997E-4</v>
      </c>
      <c r="L23" s="20">
        <v>1.0728341135379012E-2</v>
      </c>
      <c r="M23" s="12">
        <f t="shared" si="15"/>
        <v>7.5941203513564412E-2</v>
      </c>
      <c r="N23" s="21">
        <v>0</v>
      </c>
      <c r="O23" s="21">
        <v>0</v>
      </c>
      <c r="P23" s="21">
        <v>0</v>
      </c>
      <c r="Q23" s="21">
        <v>2.4999999999999998E-2</v>
      </c>
      <c r="R23" s="21">
        <v>3.5000000000000003E-2</v>
      </c>
      <c r="S23" s="21">
        <v>0.04</v>
      </c>
      <c r="T23" s="21">
        <v>4.4999999999999998E-2</v>
      </c>
      <c r="U23" s="21">
        <v>0.05</v>
      </c>
      <c r="V23" s="21">
        <v>5.5E-2</v>
      </c>
      <c r="X23" s="11" cm="1">
        <f t="array" ref="X23">SQRT(INDEX(AE23:AS23,A23))</f>
        <v>0.16323642133241673</v>
      </c>
      <c r="Z23" s="10">
        <v>5.7142857142857148E-2</v>
      </c>
      <c r="AA23" s="10">
        <v>0</v>
      </c>
      <c r="AB23" s="10">
        <v>0</v>
      </c>
      <c r="AE23">
        <f t="shared" si="16"/>
        <v>1.2253367449891712E-2</v>
      </c>
      <c r="AF23">
        <f t="shared" si="14"/>
        <v>1.6333214292254039E-2</v>
      </c>
      <c r="AG23">
        <f t="shared" si="14"/>
        <v>2.3682254373219865E-2</v>
      </c>
      <c r="AH23">
        <f t="shared" si="14"/>
        <v>2.6646129249414278E-2</v>
      </c>
      <c r="AI23">
        <f t="shared" si="14"/>
        <v>2.5970978461964129E-2</v>
      </c>
      <c r="AJ23">
        <f t="shared" si="14"/>
        <v>1.6719965983671644E-2</v>
      </c>
      <c r="AK23">
        <f t="shared" si="14"/>
        <v>1.5579458190593618E-2</v>
      </c>
      <c r="AL23">
        <f t="shared" si="14"/>
        <v>1.3328444196163212E-2</v>
      </c>
      <c r="AM23">
        <f t="shared" si="14"/>
        <v>1.2793239146818031E-2</v>
      </c>
      <c r="AN23">
        <f t="shared" si="14"/>
        <v>1.8542136021983971E-2</v>
      </c>
      <c r="AO23">
        <f t="shared" si="14"/>
        <v>2.258835503624967E-4</v>
      </c>
      <c r="AP23">
        <f t="shared" si="14"/>
        <v>7.3451336917883267E-5</v>
      </c>
      <c r="AQ23">
        <f t="shared" si="14"/>
        <v>5.2536421116778547E-5</v>
      </c>
      <c r="AR23">
        <f t="shared" si="14"/>
        <v>7.3915500020189549E-4</v>
      </c>
      <c r="AS23">
        <f t="shared" si="14"/>
        <v>1.1556607289381049E-5</v>
      </c>
      <c r="AU23" s="18">
        <v>1.0211139541576426E-3</v>
      </c>
      <c r="AV23" s="18">
        <v>1.3611011910211698E-3</v>
      </c>
      <c r="AW23" s="18">
        <v>1.9735211977683219E-3</v>
      </c>
      <c r="AX23" s="18">
        <v>2.2205107707845232E-3</v>
      </c>
      <c r="AY23" s="18">
        <v>2.1642482051636774E-3</v>
      </c>
      <c r="AZ23" s="18">
        <v>1.3933304986393036E-3</v>
      </c>
      <c r="BA23" s="18">
        <v>1.2982881825494683E-3</v>
      </c>
      <c r="BB23" s="18">
        <v>1.110703683013601E-3</v>
      </c>
      <c r="BC23" s="18">
        <v>1.0661032622348359E-3</v>
      </c>
      <c r="BD23" s="18">
        <v>1.5451780018319976E-3</v>
      </c>
      <c r="BE23" s="18">
        <v>1.8823629196874726E-5</v>
      </c>
      <c r="BF23" s="18">
        <v>6.1209447431569386E-6</v>
      </c>
      <c r="BG23" s="18">
        <v>4.3780350930648789E-6</v>
      </c>
      <c r="BH23" s="18">
        <v>6.1596250016824624E-5</v>
      </c>
      <c r="BI23" s="18">
        <v>9.6305060744842074E-7</v>
      </c>
    </row>
    <row r="24" spans="1:61" x14ac:dyDescent="0.25">
      <c r="A24">
        <v>5</v>
      </c>
      <c r="B24" t="s">
        <v>34</v>
      </c>
      <c r="C24" t="s">
        <v>35</v>
      </c>
      <c r="D24" t="s">
        <v>23</v>
      </c>
      <c r="E24" t="s">
        <v>30</v>
      </c>
      <c r="F24" t="s">
        <v>31</v>
      </c>
      <c r="G24" s="20">
        <v>9.2399999999999996E-2</v>
      </c>
      <c r="H24" s="20">
        <v>5.5300000000000002E-3</v>
      </c>
      <c r="I24" s="20">
        <v>0</v>
      </c>
      <c r="J24" s="20">
        <v>5.9645535105657809E-4</v>
      </c>
      <c r="K24" s="20">
        <v>2.7599999999999993E-4</v>
      </c>
      <c r="L24" s="20">
        <v>1.0437476439624043E-2</v>
      </c>
      <c r="M24" s="12">
        <f t="shared" si="15"/>
        <v>7.5560068209319375E-2</v>
      </c>
      <c r="N24" s="21">
        <v>0</v>
      </c>
      <c r="O24" s="21">
        <v>0</v>
      </c>
      <c r="P24" s="21">
        <v>0</v>
      </c>
      <c r="Q24" s="21">
        <v>0.02</v>
      </c>
      <c r="R24" s="21">
        <v>0.02</v>
      </c>
      <c r="S24" s="21">
        <v>2.5000000000000001E-2</v>
      </c>
      <c r="T24" s="21">
        <v>0.03</v>
      </c>
      <c r="U24" s="21">
        <v>3.5000000000000003E-2</v>
      </c>
      <c r="V24" s="21">
        <v>0.04</v>
      </c>
      <c r="X24" s="11" cm="1">
        <f t="array" ref="X24">SQRT(INDEX(AE24:AS24,A24))</f>
        <v>0.17755759693209877</v>
      </c>
      <c r="Z24" s="10">
        <v>3.5714285714285719E-2</v>
      </c>
      <c r="AA24" s="10">
        <v>0</v>
      </c>
      <c r="AB24" s="10">
        <v>0</v>
      </c>
      <c r="AE24">
        <f t="shared" si="16"/>
        <v>1.3617734464435833E-2</v>
      </c>
      <c r="AF24">
        <f t="shared" si="14"/>
        <v>1.8070694488224542E-2</v>
      </c>
      <c r="AG24">
        <f t="shared" si="14"/>
        <v>2.5305712203200402E-2</v>
      </c>
      <c r="AH24">
        <f t="shared" si="14"/>
        <v>2.5970978461964129E-2</v>
      </c>
      <c r="AI24">
        <f t="shared" si="14"/>
        <v>3.1526700228301653E-2</v>
      </c>
      <c r="AJ24">
        <f t="shared" si="14"/>
        <v>1.8339601107862979E-2</v>
      </c>
      <c r="AK24">
        <f t="shared" si="14"/>
        <v>1.6492045148158323E-2</v>
      </c>
      <c r="AL24">
        <f t="shared" si="14"/>
        <v>1.4242293844088937E-2</v>
      </c>
      <c r="AM24">
        <f t="shared" si="14"/>
        <v>1.3449336349085711E-2</v>
      </c>
      <c r="AN24">
        <f t="shared" si="14"/>
        <v>2.0175790497839605E-2</v>
      </c>
      <c r="AO24">
        <f t="shared" si="14"/>
        <v>3.4119356491277281E-4</v>
      </c>
      <c r="AP24">
        <f t="shared" si="14"/>
        <v>1.0550861494958447E-4</v>
      </c>
      <c r="AQ24">
        <f t="shared" si="14"/>
        <v>2.0228719455965235E-4</v>
      </c>
      <c r="AR24">
        <f t="shared" si="14"/>
        <v>1.0687196823668554E-3</v>
      </c>
      <c r="AS24">
        <f t="shared" si="14"/>
        <v>-1.7948726790315256E-5</v>
      </c>
      <c r="AU24" s="18">
        <v>1.1348112053696528E-3</v>
      </c>
      <c r="AV24" s="18">
        <v>1.5058912073520453E-3</v>
      </c>
      <c r="AW24" s="18">
        <v>2.1088093502667003E-3</v>
      </c>
      <c r="AX24" s="18">
        <v>2.1642482051636774E-3</v>
      </c>
      <c r="AY24" s="18">
        <v>2.6272250190251378E-3</v>
      </c>
      <c r="AZ24" s="18">
        <v>1.5283000923219151E-3</v>
      </c>
      <c r="BA24" s="18">
        <v>1.3743370956798603E-3</v>
      </c>
      <c r="BB24" s="18">
        <v>1.1868578203407447E-3</v>
      </c>
      <c r="BC24" s="18">
        <v>1.1207780290904759E-3</v>
      </c>
      <c r="BD24" s="18">
        <v>1.6813158748199672E-3</v>
      </c>
      <c r="BE24" s="18">
        <v>2.8432797076064401E-5</v>
      </c>
      <c r="BF24" s="18">
        <v>8.7923845791320388E-6</v>
      </c>
      <c r="BG24" s="18">
        <v>1.6857266213304362E-5</v>
      </c>
      <c r="BH24" s="18">
        <v>8.9059973530571291E-5</v>
      </c>
      <c r="BI24" s="18">
        <v>-1.4957272325262713E-6</v>
      </c>
    </row>
    <row r="25" spans="1:61" x14ac:dyDescent="0.25">
      <c r="A25">
        <v>6</v>
      </c>
      <c r="B25" t="s">
        <v>36</v>
      </c>
      <c r="C25" t="s">
        <v>37</v>
      </c>
      <c r="D25" t="s">
        <v>23</v>
      </c>
      <c r="E25" t="s">
        <v>38</v>
      </c>
      <c r="F25" t="s">
        <v>31</v>
      </c>
      <c r="G25" s="20">
        <v>8.900000000000001E-2</v>
      </c>
      <c r="H25" s="20">
        <v>3.0100000000000001E-3</v>
      </c>
      <c r="I25" s="20">
        <v>2.6825E-3</v>
      </c>
      <c r="J25" s="20">
        <v>0</v>
      </c>
      <c r="K25" s="20">
        <v>2.3999999999999998E-4</v>
      </c>
      <c r="L25" s="20">
        <v>1.0794448207535815E-2</v>
      </c>
      <c r="M25" s="12">
        <f t="shared" si="15"/>
        <v>7.2273051792464196E-2</v>
      </c>
      <c r="N25" s="21">
        <v>0</v>
      </c>
      <c r="O25" s="21">
        <v>0</v>
      </c>
      <c r="P25" s="21">
        <v>0</v>
      </c>
      <c r="Q25" s="21">
        <v>0</v>
      </c>
      <c r="R25" s="21">
        <v>2.5000000000000001E-2</v>
      </c>
      <c r="S25" s="21">
        <v>7.4999999999999997E-2</v>
      </c>
      <c r="T25" s="21">
        <v>0.13</v>
      </c>
      <c r="U25" s="21">
        <v>0.2</v>
      </c>
      <c r="V25" s="21">
        <v>0.28000000000000003</v>
      </c>
      <c r="X25" s="11" cm="1">
        <f t="array" ref="X25">SQRT(INDEX(AE25:AS25,A25))</f>
        <v>0.14583047100803356</v>
      </c>
      <c r="Z25" s="10">
        <v>0.10714285714285715</v>
      </c>
      <c r="AA25" s="10">
        <v>0</v>
      </c>
      <c r="AB25" s="10">
        <v>0</v>
      </c>
      <c r="AE25">
        <f t="shared" si="16"/>
        <v>1.1510415288163513E-2</v>
      </c>
      <c r="AF25">
        <f t="shared" si="14"/>
        <v>1.4896103491818845E-2</v>
      </c>
      <c r="AG25">
        <f t="shared" si="14"/>
        <v>1.6063798524744318E-2</v>
      </c>
      <c r="AH25">
        <f t="shared" si="14"/>
        <v>1.6719965983671644E-2</v>
      </c>
      <c r="AI25">
        <f t="shared" si="14"/>
        <v>1.8339601107862979E-2</v>
      </c>
      <c r="AJ25">
        <f t="shared" si="14"/>
        <v>2.1266526274424921E-2</v>
      </c>
      <c r="AK25">
        <f t="shared" si="14"/>
        <v>1.5376601283758099E-2</v>
      </c>
      <c r="AL25">
        <f t="shared" si="14"/>
        <v>1.4054167041397714E-2</v>
      </c>
      <c r="AM25">
        <f t="shared" si="14"/>
        <v>1.2867057886173233E-2</v>
      </c>
      <c r="AN25">
        <f t="shared" si="14"/>
        <v>1.5933266693086295E-2</v>
      </c>
      <c r="AO25">
        <f t="shared" si="14"/>
        <v>-9.722073737876095E-6</v>
      </c>
      <c r="AP25">
        <f t="shared" si="14"/>
        <v>-3.3819602315245466E-5</v>
      </c>
      <c r="AQ25">
        <f t="shared" si="14"/>
        <v>-6.4851840701867679E-5</v>
      </c>
      <c r="AR25">
        <f t="shared" si="14"/>
        <v>6.706553904626759E-4</v>
      </c>
      <c r="AS25">
        <f t="shared" si="14"/>
        <v>-2.0838091611221545E-5</v>
      </c>
      <c r="AU25" s="18">
        <v>9.5920127401362605E-4</v>
      </c>
      <c r="AV25" s="18">
        <v>1.2413419576515704E-3</v>
      </c>
      <c r="AW25" s="18">
        <v>1.3386498770620264E-3</v>
      </c>
      <c r="AX25" s="18">
        <v>1.3933304986393036E-3</v>
      </c>
      <c r="AY25" s="18">
        <v>1.5283000923219151E-3</v>
      </c>
      <c r="AZ25" s="18">
        <v>1.7722105228687435E-3</v>
      </c>
      <c r="BA25" s="18">
        <v>1.2813834403131749E-3</v>
      </c>
      <c r="BB25" s="18">
        <v>1.1711805867831429E-3</v>
      </c>
      <c r="BC25" s="18">
        <v>1.0722548238477694E-3</v>
      </c>
      <c r="BD25" s="18">
        <v>1.3277722244238578E-3</v>
      </c>
      <c r="BE25" s="18">
        <v>-8.1017281148967466E-7</v>
      </c>
      <c r="BF25" s="18">
        <v>-2.8183001929371221E-6</v>
      </c>
      <c r="BG25" s="18">
        <v>-5.4043200584889733E-6</v>
      </c>
      <c r="BH25" s="18">
        <v>5.5887949205222996E-5</v>
      </c>
      <c r="BI25" s="18">
        <v>-1.7365076342684622E-6</v>
      </c>
    </row>
    <row r="26" spans="1:61" x14ac:dyDescent="0.25">
      <c r="A26">
        <v>7</v>
      </c>
      <c r="B26" t="s">
        <v>39</v>
      </c>
      <c r="C26" t="s">
        <v>40</v>
      </c>
      <c r="D26" t="s">
        <v>23</v>
      </c>
      <c r="E26" t="s">
        <v>38</v>
      </c>
      <c r="F26" t="s">
        <v>25</v>
      </c>
      <c r="G26" s="20">
        <v>0.10312500000000002</v>
      </c>
      <c r="H26" s="20">
        <v>5.8999999999999999E-3</v>
      </c>
      <c r="I26" s="20">
        <v>0</v>
      </c>
      <c r="J26" s="20">
        <v>0</v>
      </c>
      <c r="K26" s="20">
        <v>3.1199999999999999E-4</v>
      </c>
      <c r="L26" s="20">
        <v>1.2348000000000001E-2</v>
      </c>
      <c r="M26" s="12">
        <f t="shared" si="15"/>
        <v>8.4565000000000029E-2</v>
      </c>
      <c r="N26" s="21">
        <v>0.06</v>
      </c>
      <c r="O26" s="21">
        <v>0.1</v>
      </c>
      <c r="P26" s="21">
        <v>0.14499999999999999</v>
      </c>
      <c r="Q26" s="21">
        <v>0.185</v>
      </c>
      <c r="R26" s="21">
        <v>0.22500000000000001</v>
      </c>
      <c r="S26" s="21">
        <v>0.255</v>
      </c>
      <c r="T26" s="21">
        <v>0.28999999999999998</v>
      </c>
      <c r="U26" s="21">
        <v>0.32500000000000001</v>
      </c>
      <c r="V26" s="21">
        <v>0.34</v>
      </c>
      <c r="X26" s="11" cm="1">
        <f t="array" ref="X26">SQRT(INDEX(AE26:AS26,A26))</f>
        <v>0.14429844970513733</v>
      </c>
      <c r="Z26" s="10">
        <v>0.36428571428571432</v>
      </c>
      <c r="AA26" s="10">
        <v>0</v>
      </c>
      <c r="AB26" s="10">
        <v>0</v>
      </c>
      <c r="AE26">
        <f t="shared" si="16"/>
        <v>8.9164076857883943E-3</v>
      </c>
      <c r="AF26">
        <f t="shared" si="14"/>
        <v>1.1672514335072184E-2</v>
      </c>
      <c r="AG26">
        <f t="shared" si="14"/>
        <v>1.5055288569984577E-2</v>
      </c>
      <c r="AH26">
        <f t="shared" si="14"/>
        <v>1.5579458190593618E-2</v>
      </c>
      <c r="AI26">
        <f t="shared" si="14"/>
        <v>1.6492045148158323E-2</v>
      </c>
      <c r="AJ26">
        <f t="shared" si="14"/>
        <v>1.5376601283758099E-2</v>
      </c>
      <c r="AK26">
        <f t="shared" si="14"/>
        <v>2.0822042587306046E-2</v>
      </c>
      <c r="AL26">
        <f t="shared" si="14"/>
        <v>1.5668490390405288E-2</v>
      </c>
      <c r="AM26">
        <f t="shared" si="14"/>
        <v>1.6129410565790189E-2</v>
      </c>
      <c r="AN26">
        <f t="shared" si="14"/>
        <v>1.6708165132547508E-2</v>
      </c>
      <c r="AO26">
        <f t="shared" si="14"/>
        <v>2.1511439644465252E-4</v>
      </c>
      <c r="AP26">
        <f t="shared" si="14"/>
        <v>-1.1821068955456213E-4</v>
      </c>
      <c r="AQ26">
        <f t="shared" si="14"/>
        <v>-3.4858452743809221E-4</v>
      </c>
      <c r="AR26">
        <f t="shared" si="14"/>
        <v>-1.4032493807543487E-4</v>
      </c>
      <c r="AS26">
        <f t="shared" si="14"/>
        <v>-1.8577916068155711E-5</v>
      </c>
      <c r="AU26" s="18">
        <v>7.4303397381569956E-4</v>
      </c>
      <c r="AV26" s="18">
        <v>9.727095279226819E-4</v>
      </c>
      <c r="AW26" s="18">
        <v>1.254607380832048E-3</v>
      </c>
      <c r="AX26" s="18">
        <v>1.2982881825494683E-3</v>
      </c>
      <c r="AY26" s="18">
        <v>1.3743370956798603E-3</v>
      </c>
      <c r="AZ26" s="18">
        <v>1.2813834403131749E-3</v>
      </c>
      <c r="BA26" s="18">
        <v>1.7351702156088373E-3</v>
      </c>
      <c r="BB26" s="18">
        <v>1.3057075325337739E-3</v>
      </c>
      <c r="BC26" s="18">
        <v>1.3441175471491824E-3</v>
      </c>
      <c r="BD26" s="18">
        <v>1.392347094378959E-3</v>
      </c>
      <c r="BE26" s="18">
        <v>1.7926199703721043E-5</v>
      </c>
      <c r="BF26" s="18">
        <v>-9.85089079621351E-6</v>
      </c>
      <c r="BG26" s="18">
        <v>-2.9048710619841017E-5</v>
      </c>
      <c r="BH26" s="18">
        <v>-1.1693744839619572E-5</v>
      </c>
      <c r="BI26" s="18">
        <v>-1.5481596723463093E-6</v>
      </c>
    </row>
    <row r="27" spans="1:61" x14ac:dyDescent="0.25">
      <c r="A27">
        <v>8</v>
      </c>
      <c r="B27" t="s">
        <v>41</v>
      </c>
      <c r="C27" t="s">
        <v>42</v>
      </c>
      <c r="D27" t="s">
        <v>23</v>
      </c>
      <c r="E27" t="s">
        <v>43</v>
      </c>
      <c r="F27" t="s">
        <v>25</v>
      </c>
      <c r="G27" s="20">
        <v>8.1000000000000003E-2</v>
      </c>
      <c r="H27" s="20">
        <v>1.5399999999999997E-3</v>
      </c>
      <c r="I27" s="20">
        <v>0</v>
      </c>
      <c r="J27" s="20">
        <v>0</v>
      </c>
      <c r="K27" s="20">
        <v>3.5999999999999997E-4</v>
      </c>
      <c r="L27" s="20">
        <v>1.3568800000000002E-2</v>
      </c>
      <c r="M27" s="12">
        <f t="shared" si="15"/>
        <v>6.5531199999999998E-2</v>
      </c>
      <c r="N27" s="21">
        <v>0.05</v>
      </c>
      <c r="O27" s="21">
        <v>0.08</v>
      </c>
      <c r="P27" s="21">
        <v>0.105</v>
      </c>
      <c r="Q27" s="21">
        <v>0.13500000000000001</v>
      </c>
      <c r="R27" s="21">
        <v>0.13500000000000001</v>
      </c>
      <c r="S27" s="21">
        <v>0.12</v>
      </c>
      <c r="T27" s="21">
        <v>0.09</v>
      </c>
      <c r="U27" s="21">
        <v>0.05</v>
      </c>
      <c r="V27" s="21">
        <v>0</v>
      </c>
      <c r="X27" s="11" cm="1">
        <f t="array" ref="X27">SQRT(INDEX(AE27:AS27,A27))</f>
        <v>0.13155380397604477</v>
      </c>
      <c r="Z27" s="10">
        <v>0.17142857142857143</v>
      </c>
      <c r="AA27" s="10">
        <v>0</v>
      </c>
      <c r="AB27" s="10">
        <v>0</v>
      </c>
      <c r="AE27">
        <f t="shared" si="16"/>
        <v>8.4688325947766749E-3</v>
      </c>
      <c r="AF27">
        <f t="shared" si="14"/>
        <v>1.048825645892372E-2</v>
      </c>
      <c r="AG27">
        <f t="shared" si="14"/>
        <v>1.3538198677575112E-2</v>
      </c>
      <c r="AH27">
        <f t="shared" si="14"/>
        <v>1.3328444196163212E-2</v>
      </c>
      <c r="AI27">
        <f t="shared" si="14"/>
        <v>1.4242293844088937E-2</v>
      </c>
      <c r="AJ27">
        <f t="shared" si="14"/>
        <v>1.4054167041397714E-2</v>
      </c>
      <c r="AK27">
        <f t="shared" si="14"/>
        <v>1.5668490390405288E-2</v>
      </c>
      <c r="AL27">
        <f t="shared" si="14"/>
        <v>1.7306403340567614E-2</v>
      </c>
      <c r="AM27">
        <f t="shared" si="14"/>
        <v>1.5872409472064919E-2</v>
      </c>
      <c r="AN27">
        <f t="shared" si="14"/>
        <v>1.5263934001592471E-2</v>
      </c>
      <c r="AO27">
        <f t="shared" si="14"/>
        <v>4.9711676932247218E-4</v>
      </c>
      <c r="AP27">
        <f t="shared" si="14"/>
        <v>-3.6617725105711794E-5</v>
      </c>
      <c r="AQ27">
        <f t="shared" si="14"/>
        <v>-1.2607696769574654E-4</v>
      </c>
      <c r="AR27">
        <f t="shared" si="14"/>
        <v>3.7422154371914105E-4</v>
      </c>
      <c r="AS27">
        <f t="shared" si="14"/>
        <v>8.8801069938775975E-6</v>
      </c>
      <c r="AU27" s="18">
        <v>7.0573604956472287E-4</v>
      </c>
      <c r="AV27" s="18">
        <v>8.7402137157697665E-4</v>
      </c>
      <c r="AW27" s="18">
        <v>1.1281832231312594E-3</v>
      </c>
      <c r="AX27" s="18">
        <v>1.110703683013601E-3</v>
      </c>
      <c r="AY27" s="18">
        <v>1.1868578203407447E-3</v>
      </c>
      <c r="AZ27" s="18">
        <v>1.1711805867831429E-3</v>
      </c>
      <c r="BA27" s="18">
        <v>1.3057075325337739E-3</v>
      </c>
      <c r="BB27" s="18">
        <v>1.4422002783806346E-3</v>
      </c>
      <c r="BC27" s="18">
        <v>1.3227007893387432E-3</v>
      </c>
      <c r="BD27" s="18">
        <v>1.2719945001327059E-3</v>
      </c>
      <c r="BE27" s="18">
        <v>4.1426397443539349E-5</v>
      </c>
      <c r="BF27" s="18">
        <v>-3.0514770921426495E-6</v>
      </c>
      <c r="BG27" s="18">
        <v>-1.0506413974645544E-5</v>
      </c>
      <c r="BH27" s="18">
        <v>3.1185128643261754E-5</v>
      </c>
      <c r="BI27" s="18">
        <v>7.4000891615646642E-7</v>
      </c>
    </row>
    <row r="28" spans="1:61" x14ac:dyDescent="0.25">
      <c r="A28">
        <v>9</v>
      </c>
      <c r="B28" t="s">
        <v>44</v>
      </c>
      <c r="C28" t="s">
        <v>45</v>
      </c>
      <c r="D28" t="s">
        <v>23</v>
      </c>
      <c r="E28" t="s">
        <v>43</v>
      </c>
      <c r="F28" t="s">
        <v>25</v>
      </c>
      <c r="G28" s="20">
        <v>0.08</v>
      </c>
      <c r="H28" s="20">
        <v>1.64E-3</v>
      </c>
      <c r="I28" s="20">
        <v>0</v>
      </c>
      <c r="J28" s="20">
        <v>0</v>
      </c>
      <c r="K28" s="20">
        <v>3.1199999999999999E-4</v>
      </c>
      <c r="L28" s="20">
        <v>1.3540800000000002E-2</v>
      </c>
      <c r="M28" s="12">
        <f t="shared" si="15"/>
        <v>6.4507200000000001E-2</v>
      </c>
      <c r="N28" s="21">
        <v>0.02</v>
      </c>
      <c r="O28" s="21">
        <v>0.02</v>
      </c>
      <c r="P28" s="21">
        <v>0.02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X28" s="11" cm="1">
        <f t="array" ref="X28">SQRT(INDEX(AE28:AS28,A28))</f>
        <v>0.12792153641612883</v>
      </c>
      <c r="Z28" s="10">
        <v>0</v>
      </c>
      <c r="AA28" s="10">
        <v>0</v>
      </c>
      <c r="AB28" s="10">
        <v>0</v>
      </c>
      <c r="AE28">
        <f t="shared" si="16"/>
        <v>7.7914569135329112E-3</v>
      </c>
      <c r="AF28">
        <f t="shared" si="14"/>
        <v>9.8505686305290358E-3</v>
      </c>
      <c r="AG28">
        <f t="shared" si="14"/>
        <v>1.2856856312817969E-2</v>
      </c>
      <c r="AH28">
        <f t="shared" si="14"/>
        <v>1.2793239146818031E-2</v>
      </c>
      <c r="AI28">
        <f t="shared" si="14"/>
        <v>1.3449336349085711E-2</v>
      </c>
      <c r="AJ28">
        <f t="shared" si="14"/>
        <v>1.2867057886173233E-2</v>
      </c>
      <c r="AK28">
        <f t="shared" si="14"/>
        <v>1.6129410565790189E-2</v>
      </c>
      <c r="AL28">
        <f t="shared" si="14"/>
        <v>1.5872409472064919E-2</v>
      </c>
      <c r="AM28">
        <f t="shared" si="14"/>
        <v>1.6363919479062971E-2</v>
      </c>
      <c r="AN28">
        <f t="shared" si="14"/>
        <v>1.5337393414624464E-2</v>
      </c>
      <c r="AO28">
        <f t="shared" si="14"/>
        <v>3.1335573162468583E-4</v>
      </c>
      <c r="AP28">
        <f t="shared" si="14"/>
        <v>-9.8438489779994226E-5</v>
      </c>
      <c r="AQ28">
        <f t="shared" si="14"/>
        <v>-2.2108816373346497E-4</v>
      </c>
      <c r="AR28">
        <f t="shared" si="14"/>
        <v>-4.2217906392812089E-5</v>
      </c>
      <c r="AS28">
        <f t="shared" si="14"/>
        <v>-1.2991358284918264E-6</v>
      </c>
      <c r="AU28" s="18">
        <v>6.492880761277426E-4</v>
      </c>
      <c r="AV28" s="18">
        <v>8.2088071921075298E-4</v>
      </c>
      <c r="AW28" s="18">
        <v>1.0714046927348308E-3</v>
      </c>
      <c r="AX28" s="18">
        <v>1.0661032622348359E-3</v>
      </c>
      <c r="AY28" s="18">
        <v>1.1207780290904759E-3</v>
      </c>
      <c r="AZ28" s="18">
        <v>1.0722548238477694E-3</v>
      </c>
      <c r="BA28" s="18">
        <v>1.3441175471491824E-3</v>
      </c>
      <c r="BB28" s="18">
        <v>1.3227007893387432E-3</v>
      </c>
      <c r="BC28" s="18">
        <v>1.3636599565885808E-3</v>
      </c>
      <c r="BD28" s="18">
        <v>1.278116117885372E-3</v>
      </c>
      <c r="BE28" s="18">
        <v>2.6112977635390486E-5</v>
      </c>
      <c r="BF28" s="18">
        <v>-8.2032074816661855E-6</v>
      </c>
      <c r="BG28" s="18">
        <v>-1.8424013644455413E-5</v>
      </c>
      <c r="BH28" s="18">
        <v>-3.5181588660676738E-6</v>
      </c>
      <c r="BI28" s="18">
        <v>-1.0826131904098554E-7</v>
      </c>
    </row>
    <row r="29" spans="1:61" x14ac:dyDescent="0.25">
      <c r="A29">
        <v>10</v>
      </c>
      <c r="B29" t="s">
        <v>46</v>
      </c>
      <c r="C29" t="s">
        <v>47</v>
      </c>
      <c r="D29" t="s">
        <v>23</v>
      </c>
      <c r="E29" t="s">
        <v>48</v>
      </c>
      <c r="F29" t="s">
        <v>31</v>
      </c>
      <c r="G29" s="20">
        <v>0.10099999999999999</v>
      </c>
      <c r="H29" s="20">
        <v>6.0999999999999995E-3</v>
      </c>
      <c r="I29" s="20">
        <v>4.5000000000000005E-3</v>
      </c>
      <c r="J29" s="20">
        <v>5.9645535105657809E-4</v>
      </c>
      <c r="K29" s="20">
        <v>5.2800000000000004E-4</v>
      </c>
      <c r="L29" s="20">
        <v>1.0455308710899523E-2</v>
      </c>
      <c r="M29" s="12">
        <f t="shared" si="15"/>
        <v>7.8820235938043881E-2</v>
      </c>
      <c r="N29" s="21">
        <v>0</v>
      </c>
      <c r="O29" s="21">
        <v>0</v>
      </c>
      <c r="P29" s="21">
        <v>0</v>
      </c>
      <c r="Q29" s="21">
        <v>0.02</v>
      </c>
      <c r="R29" s="21">
        <v>2.5000000000000001E-2</v>
      </c>
      <c r="S29" s="21">
        <v>3.5000000000000003E-2</v>
      </c>
      <c r="T29" s="21">
        <v>4.4999999999999998E-2</v>
      </c>
      <c r="U29" s="21">
        <v>0.06</v>
      </c>
      <c r="V29" s="21">
        <v>7.4999999999999997E-2</v>
      </c>
      <c r="X29" s="11" cm="1">
        <f t="array" ref="X29">SQRT(INDEX(AE29:AS29,A29))</f>
        <v>0.17819767121323479</v>
      </c>
      <c r="Z29" s="10">
        <v>5.000000000000001E-2</v>
      </c>
      <c r="AA29" s="10">
        <v>0</v>
      </c>
      <c r="AB29" s="10">
        <v>0</v>
      </c>
      <c r="AE29">
        <f t="shared" si="16"/>
        <v>1.0382280244060051E-2</v>
      </c>
      <c r="AF29">
        <f t="shared" si="14"/>
        <v>1.4023664981876124E-2</v>
      </c>
      <c r="AG29">
        <f t="shared" si="14"/>
        <v>1.7923620081849997E-2</v>
      </c>
      <c r="AH29">
        <f t="shared" si="14"/>
        <v>1.8542136021983971E-2</v>
      </c>
      <c r="AI29">
        <f t="shared" si="14"/>
        <v>2.0175790497839605E-2</v>
      </c>
      <c r="AJ29">
        <f t="shared" si="14"/>
        <v>1.5933266693086295E-2</v>
      </c>
      <c r="AK29">
        <f t="shared" si="14"/>
        <v>1.6708165132547508E-2</v>
      </c>
      <c r="AL29">
        <f t="shared" si="14"/>
        <v>1.5263934001592471E-2</v>
      </c>
      <c r="AM29">
        <f t="shared" si="14"/>
        <v>1.5337393414624464E-2</v>
      </c>
      <c r="AN29">
        <f t="shared" si="14"/>
        <v>3.1754410025820128E-2</v>
      </c>
      <c r="AO29">
        <f t="shared" si="14"/>
        <v>-1.5660024265723151E-4</v>
      </c>
      <c r="AP29">
        <f t="shared" si="14"/>
        <v>-9.7221668347378373E-5</v>
      </c>
      <c r="AQ29">
        <f t="shared" si="14"/>
        <v>-1.9756172607377881E-4</v>
      </c>
      <c r="AR29">
        <f t="shared" si="14"/>
        <v>-4.000783695395461E-4</v>
      </c>
      <c r="AS29">
        <f t="shared" si="14"/>
        <v>-3.6895276775783775E-5</v>
      </c>
      <c r="AU29" s="18">
        <v>8.6519002033833752E-4</v>
      </c>
      <c r="AV29" s="18">
        <v>1.168638748489677E-3</v>
      </c>
      <c r="AW29" s="18">
        <v>1.4936350068208331E-3</v>
      </c>
      <c r="AX29" s="18">
        <v>1.5451780018319976E-3</v>
      </c>
      <c r="AY29" s="18">
        <v>1.6813158748199672E-3</v>
      </c>
      <c r="AZ29" s="18">
        <v>1.3277722244238578E-3</v>
      </c>
      <c r="BA29" s="18">
        <v>1.392347094378959E-3</v>
      </c>
      <c r="BB29" s="18">
        <v>1.2719945001327059E-3</v>
      </c>
      <c r="BC29" s="18">
        <v>1.278116117885372E-3</v>
      </c>
      <c r="BD29" s="18">
        <v>2.6462008354850106E-3</v>
      </c>
      <c r="BE29" s="18">
        <v>-1.3050020221435958E-5</v>
      </c>
      <c r="BF29" s="18">
        <v>-8.1018056956148639E-6</v>
      </c>
      <c r="BG29" s="18">
        <v>-1.6463477172814901E-5</v>
      </c>
      <c r="BH29" s="18">
        <v>-3.3339864128295511E-5</v>
      </c>
      <c r="BI29" s="18">
        <v>-3.0746063979819814E-6</v>
      </c>
    </row>
    <row r="30" spans="1:61" x14ac:dyDescent="0.25">
      <c r="A30">
        <v>11</v>
      </c>
      <c r="B30" t="s">
        <v>49</v>
      </c>
      <c r="C30" t="s">
        <v>50</v>
      </c>
      <c r="D30" t="s">
        <v>51</v>
      </c>
      <c r="E30" t="s">
        <v>52</v>
      </c>
      <c r="F30" t="s">
        <v>25</v>
      </c>
      <c r="G30" s="20">
        <v>3.9900000000000005E-2</v>
      </c>
      <c r="H30" s="20">
        <v>2.2999999999999995E-3</v>
      </c>
      <c r="I30" s="20">
        <v>0</v>
      </c>
      <c r="J30" s="20">
        <v>0</v>
      </c>
      <c r="K30" s="20">
        <v>0</v>
      </c>
      <c r="L30" s="20">
        <v>1.0528000000000003E-2</v>
      </c>
      <c r="M30" s="12">
        <f t="shared" si="15"/>
        <v>2.7072000000000002E-2</v>
      </c>
      <c r="N30" s="21">
        <v>0.2</v>
      </c>
      <c r="O30" s="21">
        <v>0.16500000000000001</v>
      </c>
      <c r="P30" s="21">
        <v>0.13500000000000001</v>
      </c>
      <c r="Q30" s="21">
        <v>0.11</v>
      </c>
      <c r="R30" s="21">
        <v>0.08</v>
      </c>
      <c r="S30" s="21">
        <v>0.05</v>
      </c>
      <c r="T30" s="21">
        <v>0</v>
      </c>
      <c r="U30" s="21">
        <v>0</v>
      </c>
      <c r="V30" s="21">
        <v>0</v>
      </c>
      <c r="X30" s="11" cm="1">
        <f t="array" ref="X30">SQRT(INDEX(AE30:AS30,A30))</f>
        <v>2.5799516103699488E-2</v>
      </c>
      <c r="Z30" s="10">
        <v>0</v>
      </c>
      <c r="AA30" s="10" cm="1">
        <f t="array" ref="AA30:AA33">S30:S33/SUM(S30:S33)</f>
        <v>0.17857142857142858</v>
      </c>
      <c r="AB30" s="10">
        <v>0</v>
      </c>
      <c r="AE30">
        <f t="shared" si="16"/>
        <v>5.8406486674868088E-4</v>
      </c>
      <c r="AF30">
        <f t="shared" si="14"/>
        <v>7.249614634276606E-4</v>
      </c>
      <c r="AG30">
        <f t="shared" si="14"/>
        <v>4.0079570935953239E-4</v>
      </c>
      <c r="AH30">
        <f t="shared" si="14"/>
        <v>2.258835503624967E-4</v>
      </c>
      <c r="AI30">
        <f t="shared" si="14"/>
        <v>3.4119356491277281E-4</v>
      </c>
      <c r="AJ30">
        <f t="shared" si="14"/>
        <v>-9.722073737876095E-6</v>
      </c>
      <c r="AK30">
        <f t="shared" si="14"/>
        <v>2.1511439644465252E-4</v>
      </c>
      <c r="AL30">
        <f t="shared" si="14"/>
        <v>4.9711676932247218E-4</v>
      </c>
      <c r="AM30">
        <f t="shared" si="14"/>
        <v>3.1335573162468583E-4</v>
      </c>
      <c r="AN30">
        <f t="shared" si="14"/>
        <v>-1.5660024265723151E-4</v>
      </c>
      <c r="AO30">
        <f t="shared" si="14"/>
        <v>6.6561503118504927E-4</v>
      </c>
      <c r="AP30">
        <f t="shared" si="14"/>
        <v>1.7046555494837649E-4</v>
      </c>
      <c r="AQ30">
        <f t="shared" si="14"/>
        <v>3.5891225059238676E-4</v>
      </c>
      <c r="AR30">
        <f t="shared" si="14"/>
        <v>7.5842191732306929E-4</v>
      </c>
      <c r="AS30">
        <f t="shared" si="14"/>
        <v>4.1575782242228621E-5</v>
      </c>
      <c r="AU30" s="18">
        <v>4.8672072229056738E-5</v>
      </c>
      <c r="AV30" s="18">
        <v>6.0413455285638386E-5</v>
      </c>
      <c r="AW30" s="18">
        <v>3.3399642446627699E-5</v>
      </c>
      <c r="AX30" s="18">
        <v>1.8823629196874726E-5</v>
      </c>
      <c r="AY30" s="18">
        <v>2.8432797076064401E-5</v>
      </c>
      <c r="AZ30" s="18">
        <v>-8.1017281148967466E-7</v>
      </c>
      <c r="BA30" s="18">
        <v>1.7926199703721043E-5</v>
      </c>
      <c r="BB30" s="18">
        <v>4.1426397443539349E-5</v>
      </c>
      <c r="BC30" s="18">
        <v>2.6112977635390486E-5</v>
      </c>
      <c r="BD30" s="18">
        <v>-1.3050020221435958E-5</v>
      </c>
      <c r="BE30" s="18">
        <v>5.5467919265420772E-5</v>
      </c>
      <c r="BF30" s="18">
        <v>1.4205462912364708E-5</v>
      </c>
      <c r="BG30" s="18">
        <v>2.9909354216032232E-5</v>
      </c>
      <c r="BH30" s="18">
        <v>6.3201826443589108E-5</v>
      </c>
      <c r="BI30" s="18">
        <v>3.4646485201857184E-6</v>
      </c>
    </row>
    <row r="31" spans="1:61" x14ac:dyDescent="0.25">
      <c r="A31">
        <v>12</v>
      </c>
      <c r="B31" t="s">
        <v>53</v>
      </c>
      <c r="C31" t="s">
        <v>54</v>
      </c>
      <c r="D31" t="s">
        <v>51</v>
      </c>
      <c r="E31" t="s">
        <v>55</v>
      </c>
      <c r="F31" t="s">
        <v>25</v>
      </c>
      <c r="G31" s="20">
        <v>2.3850000000000003E-2</v>
      </c>
      <c r="H31" s="20">
        <v>2.5000000000000001E-3</v>
      </c>
      <c r="I31" s="20">
        <v>0</v>
      </c>
      <c r="J31" s="20">
        <v>0</v>
      </c>
      <c r="K31" s="20">
        <v>1.3000000000000002E-4</v>
      </c>
      <c r="L31" s="20">
        <v>5.9780000000000015E-3</v>
      </c>
      <c r="M31" s="12">
        <f t="shared" si="15"/>
        <v>1.5242000000000002E-2</v>
      </c>
      <c r="N31" s="21">
        <v>0.27</v>
      </c>
      <c r="O31" s="21">
        <v>0.22</v>
      </c>
      <c r="P31" s="21">
        <v>0.155</v>
      </c>
      <c r="Q31" s="21">
        <v>0.08</v>
      </c>
      <c r="R31" s="21">
        <v>0.04</v>
      </c>
      <c r="S31" s="21">
        <v>0</v>
      </c>
      <c r="T31" s="21">
        <v>0</v>
      </c>
      <c r="U31" s="21">
        <v>0</v>
      </c>
      <c r="V31" s="21">
        <v>0</v>
      </c>
      <c r="X31" s="11" cm="1">
        <f t="array" ref="X31">SQRT(INDEX(AE31:AS31,A31))</f>
        <v>1.2028555080054648E-2</v>
      </c>
      <c r="Z31" s="10">
        <v>0</v>
      </c>
      <c r="AA31" s="10">
        <v>0</v>
      </c>
      <c r="AB31" s="10">
        <v>0</v>
      </c>
      <c r="AE31">
        <f t="shared" si="16"/>
        <v>2.1153415417675173E-5</v>
      </c>
      <c r="AF31">
        <f t="shared" si="14"/>
        <v>6.2572168099604301E-5</v>
      </c>
      <c r="AG31">
        <f t="shared" si="14"/>
        <v>7.0947287627899671E-5</v>
      </c>
      <c r="AH31">
        <f t="shared" si="14"/>
        <v>7.3451336917883267E-5</v>
      </c>
      <c r="AI31">
        <f t="shared" si="14"/>
        <v>1.0550861494958447E-4</v>
      </c>
      <c r="AJ31">
        <f t="shared" si="14"/>
        <v>-3.3819602315245466E-5</v>
      </c>
      <c r="AK31">
        <f t="shared" si="14"/>
        <v>-1.1821068955456213E-4</v>
      </c>
      <c r="AL31">
        <f t="shared" si="14"/>
        <v>-3.6617725105711794E-5</v>
      </c>
      <c r="AM31">
        <f t="shared" si="14"/>
        <v>-9.8438489779994226E-5</v>
      </c>
      <c r="AN31">
        <f t="shared" si="14"/>
        <v>-9.7221668347378373E-5</v>
      </c>
      <c r="AO31">
        <f t="shared" si="14"/>
        <v>1.7046555494837649E-4</v>
      </c>
      <c r="AP31">
        <f t="shared" si="14"/>
        <v>1.446861373139085E-4</v>
      </c>
      <c r="AQ31">
        <f t="shared" si="14"/>
        <v>2.4528795737242088E-4</v>
      </c>
      <c r="AR31">
        <f t="shared" si="14"/>
        <v>3.5835465452171609E-4</v>
      </c>
      <c r="AS31">
        <f t="shared" si="14"/>
        <v>6.1383861283156874E-5</v>
      </c>
      <c r="AU31" s="18">
        <v>1.7627846181395978E-6</v>
      </c>
      <c r="AV31" s="18">
        <v>5.2143473416336915E-6</v>
      </c>
      <c r="AW31" s="18">
        <v>5.912273968991639E-6</v>
      </c>
      <c r="AX31" s="18">
        <v>6.1209447431569386E-6</v>
      </c>
      <c r="AY31" s="18">
        <v>8.7923845791320388E-6</v>
      </c>
      <c r="AZ31" s="18">
        <v>-2.8183001929371221E-6</v>
      </c>
      <c r="BA31" s="18">
        <v>-9.85089079621351E-6</v>
      </c>
      <c r="BB31" s="18">
        <v>-3.0514770921426495E-6</v>
      </c>
      <c r="BC31" s="18">
        <v>-8.2032074816661855E-6</v>
      </c>
      <c r="BD31" s="18">
        <v>-8.1018056956148639E-6</v>
      </c>
      <c r="BE31" s="18">
        <v>1.4205462912364708E-5</v>
      </c>
      <c r="BF31" s="18">
        <v>1.2057178109492375E-5</v>
      </c>
      <c r="BG31" s="18">
        <v>2.0440663114368409E-5</v>
      </c>
      <c r="BH31" s="18">
        <v>2.9862887876809675E-5</v>
      </c>
      <c r="BI31" s="18">
        <v>5.1153217735964061E-6</v>
      </c>
    </row>
    <row r="32" spans="1:61" x14ac:dyDescent="0.25">
      <c r="A32">
        <v>13</v>
      </c>
      <c r="B32" t="s">
        <v>56</v>
      </c>
      <c r="C32" t="s">
        <v>57</v>
      </c>
      <c r="D32" t="s">
        <v>51</v>
      </c>
      <c r="E32" t="s">
        <v>55</v>
      </c>
      <c r="F32" t="s">
        <v>25</v>
      </c>
      <c r="G32" s="20">
        <v>3.5799999999999998E-2</v>
      </c>
      <c r="H32" s="20">
        <v>2.8000000000000004E-3</v>
      </c>
      <c r="I32" s="20">
        <v>0</v>
      </c>
      <c r="J32" s="20">
        <v>0</v>
      </c>
      <c r="K32" s="20">
        <v>1.3000000000000002E-4</v>
      </c>
      <c r="L32" s="20">
        <v>9.2400000000000017E-3</v>
      </c>
      <c r="M32" s="12">
        <f t="shared" si="15"/>
        <v>2.3629999999999998E-2</v>
      </c>
      <c r="N32" s="21">
        <v>0.23</v>
      </c>
      <c r="O32" s="21">
        <v>0.19500000000000001</v>
      </c>
      <c r="P32" s="21">
        <v>0.16500000000000001</v>
      </c>
      <c r="Q32" s="21">
        <v>0.14000000000000001</v>
      </c>
      <c r="R32" s="21">
        <v>0.11</v>
      </c>
      <c r="S32" s="21">
        <v>8.5000000000000006E-2</v>
      </c>
      <c r="T32" s="21">
        <v>0.05</v>
      </c>
      <c r="U32" s="21">
        <v>0</v>
      </c>
      <c r="V32" s="21">
        <v>0</v>
      </c>
      <c r="X32" s="11" cm="1">
        <f t="array" ref="X32">SQRT(INDEX(AE32:AS32,A32))</f>
        <v>2.4307797168648448E-2</v>
      </c>
      <c r="Z32" s="10">
        <v>0</v>
      </c>
      <c r="AA32" s="10">
        <v>0.30357142857142855</v>
      </c>
      <c r="AB32" s="10">
        <v>0</v>
      </c>
      <c r="AE32">
        <f t="shared" si="16"/>
        <v>1.9966188667622502E-4</v>
      </c>
      <c r="AF32">
        <f t="shared" si="14"/>
        <v>2.7595113654443323E-4</v>
      </c>
      <c r="AG32">
        <f t="shared" si="14"/>
        <v>1.3126448417168654E-4</v>
      </c>
      <c r="AH32">
        <f t="shared" si="14"/>
        <v>5.2536421116778547E-5</v>
      </c>
      <c r="AI32">
        <f t="shared" si="14"/>
        <v>2.0228719455965235E-4</v>
      </c>
      <c r="AJ32">
        <f t="shared" si="14"/>
        <v>-6.4851840701867679E-5</v>
      </c>
      <c r="AK32">
        <f t="shared" si="14"/>
        <v>-3.4858452743809221E-4</v>
      </c>
      <c r="AL32">
        <f t="shared" si="14"/>
        <v>-1.2607696769574654E-4</v>
      </c>
      <c r="AM32">
        <f t="shared" si="14"/>
        <v>-2.2108816373346497E-4</v>
      </c>
      <c r="AN32">
        <f t="shared" si="14"/>
        <v>-1.9756172607377881E-4</v>
      </c>
      <c r="AO32">
        <f t="shared" si="14"/>
        <v>3.5891225059238676E-4</v>
      </c>
      <c r="AP32">
        <f t="shared" si="14"/>
        <v>2.4528795737242088E-4</v>
      </c>
      <c r="AQ32">
        <f t="shared" si="14"/>
        <v>5.9086900319215352E-4</v>
      </c>
      <c r="AR32">
        <f t="shared" si="14"/>
        <v>8.4909556660483381E-4</v>
      </c>
      <c r="AS32">
        <f t="shared" si="14"/>
        <v>7.6552338873202755E-5</v>
      </c>
      <c r="AU32" s="18">
        <v>1.6638490556352086E-5</v>
      </c>
      <c r="AV32" s="18">
        <v>2.2995928045369437E-5</v>
      </c>
      <c r="AW32" s="18">
        <v>1.0938707014307213E-5</v>
      </c>
      <c r="AX32" s="18">
        <v>4.3780350930648789E-6</v>
      </c>
      <c r="AY32" s="18">
        <v>1.6857266213304362E-5</v>
      </c>
      <c r="AZ32" s="18">
        <v>-5.4043200584889733E-6</v>
      </c>
      <c r="BA32" s="18">
        <v>-2.9048710619841017E-5</v>
      </c>
      <c r="BB32" s="18">
        <v>-1.0506413974645544E-5</v>
      </c>
      <c r="BC32" s="18">
        <v>-1.8424013644455413E-5</v>
      </c>
      <c r="BD32" s="18">
        <v>-1.6463477172814901E-5</v>
      </c>
      <c r="BE32" s="18">
        <v>2.9909354216032232E-5</v>
      </c>
      <c r="BF32" s="18">
        <v>2.0440663114368409E-5</v>
      </c>
      <c r="BG32" s="18">
        <v>4.9239083599346122E-5</v>
      </c>
      <c r="BH32" s="18">
        <v>7.0757963883736147E-5</v>
      </c>
      <c r="BI32" s="18">
        <v>6.3793615727668962E-6</v>
      </c>
    </row>
    <row r="33" spans="1:61" x14ac:dyDescent="0.25">
      <c r="A33">
        <v>14</v>
      </c>
      <c r="B33" t="s">
        <v>58</v>
      </c>
      <c r="C33" t="s">
        <v>59</v>
      </c>
      <c r="D33" t="s">
        <v>51</v>
      </c>
      <c r="E33" t="s">
        <v>55</v>
      </c>
      <c r="F33" t="s">
        <v>25</v>
      </c>
      <c r="G33" s="20">
        <v>4.7450000000000006E-2</v>
      </c>
      <c r="H33" s="20">
        <v>3.0000000000000001E-3</v>
      </c>
      <c r="I33" s="20">
        <v>0</v>
      </c>
      <c r="J33" s="20">
        <v>0</v>
      </c>
      <c r="K33" s="20">
        <v>2.0800000000000001E-4</v>
      </c>
      <c r="L33" s="20">
        <v>1.2446000000000002E-2</v>
      </c>
      <c r="M33" s="12">
        <f t="shared" si="15"/>
        <v>3.1796000000000005E-2</v>
      </c>
      <c r="N33" s="21">
        <v>0.08</v>
      </c>
      <c r="O33" s="21">
        <v>0.1</v>
      </c>
      <c r="P33" s="21">
        <v>0.125</v>
      </c>
      <c r="Q33" s="21">
        <v>0.15</v>
      </c>
      <c r="R33" s="21">
        <v>0.15</v>
      </c>
      <c r="S33" s="21">
        <v>0.14499999999999999</v>
      </c>
      <c r="T33" s="21">
        <v>0.13</v>
      </c>
      <c r="U33" s="21">
        <v>0.08</v>
      </c>
      <c r="V33" s="21">
        <v>0</v>
      </c>
      <c r="X33" s="11" cm="1">
        <f t="array" ref="X33">SQRT(INDEX(AE33:AS33,A33))</f>
        <v>4.3735739677900211E-2</v>
      </c>
      <c r="Z33" s="10">
        <v>0</v>
      </c>
      <c r="AA33" s="10">
        <v>0.51785714285714279</v>
      </c>
      <c r="AB33" s="10">
        <v>0</v>
      </c>
      <c r="AE33">
        <f t="shared" si="16"/>
        <v>8.464472727340651E-4</v>
      </c>
      <c r="AF33">
        <f t="shared" si="14"/>
        <v>1.0142413421293552E-3</v>
      </c>
      <c r="AG33">
        <f t="shared" si="14"/>
        <v>9.7307621940011398E-4</v>
      </c>
      <c r="AH33">
        <f t="shared" si="14"/>
        <v>7.3915500020189549E-4</v>
      </c>
      <c r="AI33">
        <f t="shared" si="14"/>
        <v>1.0687196823668554E-3</v>
      </c>
      <c r="AJ33">
        <f t="shared" si="14"/>
        <v>6.706553904626759E-4</v>
      </c>
      <c r="AK33">
        <f t="shared" si="14"/>
        <v>-1.4032493807543487E-4</v>
      </c>
      <c r="AL33">
        <f t="shared" si="14"/>
        <v>3.7422154371914105E-4</v>
      </c>
      <c r="AM33">
        <f t="shared" si="14"/>
        <v>-4.2217906392812089E-5</v>
      </c>
      <c r="AN33">
        <f t="shared" si="14"/>
        <v>-4.000783695395461E-4</v>
      </c>
      <c r="AO33">
        <f t="shared" si="14"/>
        <v>7.5842191732306929E-4</v>
      </c>
      <c r="AP33">
        <f t="shared" si="14"/>
        <v>3.5835465452171609E-4</v>
      </c>
      <c r="AQ33">
        <f t="shared" si="14"/>
        <v>8.4909556660483381E-4</v>
      </c>
      <c r="AR33">
        <f t="shared" si="14"/>
        <v>1.9128149251730548E-3</v>
      </c>
      <c r="AS33">
        <f t="shared" si="14"/>
        <v>9.2872901100593707E-5</v>
      </c>
      <c r="AU33" s="18">
        <v>7.0537272727838759E-5</v>
      </c>
      <c r="AV33" s="18">
        <v>8.4520111844112921E-5</v>
      </c>
      <c r="AW33" s="18">
        <v>8.1089684950009494E-5</v>
      </c>
      <c r="AX33" s="18">
        <v>6.1596250016824624E-5</v>
      </c>
      <c r="AY33" s="18">
        <v>8.9059973530571291E-5</v>
      </c>
      <c r="AZ33" s="18">
        <v>5.5887949205222996E-5</v>
      </c>
      <c r="BA33" s="18">
        <v>-1.1693744839619572E-5</v>
      </c>
      <c r="BB33" s="18">
        <v>3.1185128643261754E-5</v>
      </c>
      <c r="BC33" s="18">
        <v>-3.5181588660676738E-6</v>
      </c>
      <c r="BD33" s="18">
        <v>-3.3339864128295511E-5</v>
      </c>
      <c r="BE33" s="18">
        <v>6.3201826443589108E-5</v>
      </c>
      <c r="BF33" s="18">
        <v>2.9862887876809675E-5</v>
      </c>
      <c r="BG33" s="18">
        <v>7.0757963883736147E-5</v>
      </c>
      <c r="BH33" s="18">
        <v>1.5940124376442123E-4</v>
      </c>
      <c r="BI33" s="18">
        <v>7.7394084250494755E-6</v>
      </c>
    </row>
    <row r="34" spans="1:61" x14ac:dyDescent="0.25">
      <c r="A34">
        <v>15</v>
      </c>
      <c r="B34" t="s">
        <v>60</v>
      </c>
      <c r="C34" t="s">
        <v>61</v>
      </c>
      <c r="D34" t="s">
        <v>62</v>
      </c>
      <c r="E34" t="s">
        <v>63</v>
      </c>
      <c r="F34" t="s">
        <v>2</v>
      </c>
      <c r="G34" s="20">
        <v>1.8500000000000003E-2</v>
      </c>
      <c r="H34" s="20">
        <v>0</v>
      </c>
      <c r="I34" s="20">
        <v>0</v>
      </c>
      <c r="J34" s="20">
        <v>0</v>
      </c>
      <c r="K34" s="20">
        <v>0</v>
      </c>
      <c r="L34" s="20">
        <v>6.1050000000000011E-3</v>
      </c>
      <c r="M34" s="12">
        <f t="shared" si="15"/>
        <v>1.2395000000000002E-2</v>
      </c>
      <c r="N34" s="21">
        <v>0.02</v>
      </c>
      <c r="O34" s="21">
        <v>0.02</v>
      </c>
      <c r="P34" s="21">
        <v>0.02</v>
      </c>
      <c r="Q34" s="21">
        <v>0.02</v>
      </c>
      <c r="R34" s="21">
        <v>0.02</v>
      </c>
      <c r="S34" s="21">
        <v>0.02</v>
      </c>
      <c r="T34" s="21">
        <v>0.02</v>
      </c>
      <c r="U34" s="21">
        <v>0.02</v>
      </c>
      <c r="V34" s="21">
        <v>0.02</v>
      </c>
      <c r="X34" s="11" cm="1">
        <f t="array" ref="X34">SQRT(INDEX(AE34:AS34,A34))</f>
        <v>7.489083985045315E-3</v>
      </c>
      <c r="Z34" s="10">
        <v>0</v>
      </c>
      <c r="AA34" s="10">
        <v>0</v>
      </c>
      <c r="AB34" s="10">
        <v>1</v>
      </c>
      <c r="AE34">
        <f t="shared" si="16"/>
        <v>-6.4393317789959568E-5</v>
      </c>
      <c r="AF34">
        <f t="shared" si="14"/>
        <v>-4.8747296107546563E-5</v>
      </c>
      <c r="AG34">
        <f t="shared" si="14"/>
        <v>-5.039433632228535E-6</v>
      </c>
      <c r="AH34">
        <f t="shared" si="14"/>
        <v>1.1556607289381049E-5</v>
      </c>
      <c r="AI34">
        <f t="shared" si="14"/>
        <v>-1.7948726790315256E-5</v>
      </c>
      <c r="AJ34">
        <f t="shared" si="14"/>
        <v>-2.0838091611221545E-5</v>
      </c>
      <c r="AK34">
        <f t="shared" si="14"/>
        <v>-1.8577916068155711E-5</v>
      </c>
      <c r="AL34">
        <f t="shared" si="14"/>
        <v>8.8801069938775975E-6</v>
      </c>
      <c r="AM34">
        <f t="shared" si="14"/>
        <v>-1.2991358284918264E-6</v>
      </c>
      <c r="AN34">
        <f t="shared" si="14"/>
        <v>-3.6895276775783775E-5</v>
      </c>
      <c r="AO34">
        <f t="shared" si="14"/>
        <v>4.1575782242228621E-5</v>
      </c>
      <c r="AP34">
        <f t="shared" si="14"/>
        <v>6.1383861283156874E-5</v>
      </c>
      <c r="AQ34">
        <f t="shared" si="14"/>
        <v>7.6552338873202755E-5</v>
      </c>
      <c r="AR34">
        <f t="shared" si="14"/>
        <v>9.2872901100593707E-5</v>
      </c>
      <c r="AS34">
        <f t="shared" si="14"/>
        <v>5.6086378935062214E-5</v>
      </c>
      <c r="AU34" s="18">
        <v>-5.3661098158299634E-6</v>
      </c>
      <c r="AV34" s="18">
        <v>-4.0622746756288802E-6</v>
      </c>
      <c r="AW34" s="18">
        <v>-4.1995280268571123E-7</v>
      </c>
      <c r="AX34" s="18">
        <v>9.6305060744842074E-7</v>
      </c>
      <c r="AY34" s="18">
        <v>-1.4957272325262713E-6</v>
      </c>
      <c r="AZ34" s="18">
        <v>-1.7365076342684622E-6</v>
      </c>
      <c r="BA34" s="18">
        <v>-1.5481596723463093E-6</v>
      </c>
      <c r="BB34" s="18">
        <v>7.4000891615646642E-7</v>
      </c>
      <c r="BC34" s="18">
        <v>-1.0826131904098554E-7</v>
      </c>
      <c r="BD34" s="18">
        <v>-3.0746063979819814E-6</v>
      </c>
      <c r="BE34" s="18">
        <v>3.4646485201857184E-6</v>
      </c>
      <c r="BF34" s="18">
        <v>5.1153217735964061E-6</v>
      </c>
      <c r="BG34" s="18">
        <v>6.3793615727668962E-6</v>
      </c>
      <c r="BH34" s="18">
        <v>7.7394084250494755E-6</v>
      </c>
      <c r="BI34" s="18">
        <v>4.6738649112551845E-6</v>
      </c>
    </row>
    <row r="37" spans="1:61" x14ac:dyDescent="0.25">
      <c r="M37" t="s">
        <v>71</v>
      </c>
      <c r="N37" s="12">
        <f t="shared" ref="N37:V37" si="17">SUMPRODUCT($M$20:$M$34,N20:N34)</f>
        <v>3.303906318236103E-2</v>
      </c>
      <c r="O37" s="12">
        <f t="shared" si="17"/>
        <v>3.8945246477951279E-2</v>
      </c>
      <c r="P37" s="12">
        <f t="shared" si="17"/>
        <v>4.507404606913179E-2</v>
      </c>
      <c r="Q37" s="12">
        <f t="shared" si="17"/>
        <v>5.1640258170786393E-2</v>
      </c>
      <c r="R37" s="12">
        <f t="shared" si="17"/>
        <v>5.7528997680423855E-2</v>
      </c>
      <c r="S37" s="12">
        <f t="shared" si="17"/>
        <v>6.3328175988041913E-2</v>
      </c>
      <c r="T37" s="12">
        <f t="shared" si="17"/>
        <v>6.895195155462229E-2</v>
      </c>
      <c r="U37" s="12">
        <f t="shared" si="17"/>
        <v>7.4401502077779888E-2</v>
      </c>
      <c r="V37" s="12">
        <f t="shared" si="17"/>
        <v>7.8454791118862097E-2</v>
      </c>
      <c r="Y37" t="s">
        <v>71</v>
      </c>
      <c r="Z37" s="12">
        <f>SUMPRODUCT($M$20:$M$34,Z20:Z34)</f>
        <v>7.8725294268631313E-2</v>
      </c>
      <c r="AA37" s="12">
        <f t="shared" ref="AA37:AB37" si="18">SUMPRODUCT($M$20:$M$34,AA20:AA34)</f>
        <v>2.8473464285714283E-2</v>
      </c>
      <c r="AB37" s="12">
        <f t="shared" si="18"/>
        <v>1.2395000000000002E-2</v>
      </c>
    </row>
    <row r="38" spans="1:61" x14ac:dyDescent="0.25">
      <c r="M38" t="s">
        <v>5</v>
      </c>
      <c r="N38" s="12" cm="1">
        <f t="array" ref="N38">SQRT(MMULT(TRANSPOSE(N20:N34), MMULT($AE$20:$AS$34,N20:N34)))</f>
        <v>2.8510977206915485E-2</v>
      </c>
      <c r="O38" s="12" cm="1">
        <f t="array" ref="O38">SQRT(MMULT(TRANSPOSE(O20:O34), MMULT($AE$20:$AS$34,O20:O34)))</f>
        <v>3.8498507520576902E-2</v>
      </c>
      <c r="P38" s="12" cm="1">
        <f t="array" ref="P38">SQRT(MMULT(TRANSPOSE(P20:P34), MMULT($AE$20:$AS$34,P20:P34)))</f>
        <v>4.9661232081766545E-2</v>
      </c>
      <c r="Q38" s="12" cm="1">
        <f t="array" ref="Q38">SQRT(MMULT(TRANSPOSE(Q20:Q34), MMULT($AE$20:$AS$34,Q20:Q34)))</f>
        <v>6.1684238477904746E-2</v>
      </c>
      <c r="R38" s="12" cm="1">
        <f t="array" ref="R38">SQRT(MMULT(TRANSPOSE(R20:R34), MMULT($AE$20:$AS$34,R20:R34)))</f>
        <v>7.3309450773840448E-2</v>
      </c>
      <c r="S38" s="12" cm="1">
        <f t="array" ref="S38">SQRT(MMULT(TRANSPOSE(S20:S34), MMULT($AE$20:$AS$34,S20:S34)))</f>
        <v>8.5436526403188676E-2</v>
      </c>
      <c r="T38" s="12" cm="1">
        <f t="array" ref="T38">SQRT(MMULT(TRANSPOSE(T20:T34), MMULT($AE$20:$AS$34,T20:T34)))</f>
        <v>9.8345892091546136E-2</v>
      </c>
      <c r="U38" s="12" cm="1">
        <f t="array" ref="U38">SQRT(MMULT(TRANSPOSE(U20:U34), MMULT($AE$20:$AS$34,U20:U34)))</f>
        <v>0.11183313308261038</v>
      </c>
      <c r="V38" s="12" cm="1">
        <f t="array" ref="V38">SQRT(MMULT(TRANSPOSE(V20:V34), MMULT($AE$20:$AS$34,V20:V34)))</f>
        <v>0.12314179079008988</v>
      </c>
      <c r="Y38" t="s">
        <v>5</v>
      </c>
      <c r="Z38" s="12" cm="1">
        <f t="array" ref="Z38">SQRT(MMULT(TRANSPOSE(Z20:Z34), MMULT($AE$20:$AS$34,Z20:Z34)))</f>
        <v>0.12074369385367663</v>
      </c>
      <c r="AA38" s="12" cm="1">
        <f t="array" ref="AA38">SQRT(MMULT(TRANSPOSE(AA20:AA34), MMULT($AE$20:$AS$34,AA20:AA34)))</f>
        <v>3.216825932273653E-2</v>
      </c>
      <c r="AB38" s="12" cm="1">
        <f t="array" ref="AB38">SQRT(MMULT(TRANSPOSE(AB20:AB34), MMULT($AE$20:$AS$34,AB20:AB34)))</f>
        <v>7.489083985045315E-3</v>
      </c>
    </row>
    <row r="41" spans="1:61" x14ac:dyDescent="0.25">
      <c r="M41" s="16" t="s">
        <v>66</v>
      </c>
      <c r="Z41" cm="1">
        <f t="array" ref="Z41">MMULT(TRANSPOSE($Z$20:$Z$34), MMULT($AE$20:$AS$34,Z20:Z34))</f>
        <v>1.4579039605430388E-2</v>
      </c>
      <c r="AA41" cm="1">
        <f t="array" ref="AA41">MMULT(TRANSPOSE($Z$20:$Z$34), MMULT($AE$20:$AS$34,AA20:AA34))</f>
        <v>1.8950226700496965E-4</v>
      </c>
      <c r="AB41" cm="1">
        <f t="array" ref="AB41">MMULT(TRANSPOSE($Z$20:$Z$34), MMULT($AE$20:$AS$34,AB20:AB34))</f>
        <v>-2.3101998375407169E-5</v>
      </c>
    </row>
    <row r="42" spans="1:61" x14ac:dyDescent="0.25">
      <c r="M42" s="16" t="s">
        <v>67</v>
      </c>
      <c r="N42" s="12">
        <f>SUMPRODUCT($M$20:$M$29,N20:N29)/SUM(N20:N29)</f>
        <v>7.6414215911805125E-2</v>
      </c>
      <c r="O42" s="12">
        <f>SUMPRODUCT($M$20:$M$29,O20:O29)/SUM(O20:O29)</f>
        <v>7.6965921593170936E-2</v>
      </c>
      <c r="P42" s="12">
        <f>SUMPRODUCT($M$20:$M$29,P20:P29)/SUM(P20:P29)</f>
        <v>7.7338665172829474E-2</v>
      </c>
      <c r="Q42" s="12">
        <f>SUMPRODUCT($M$20:$M$29,Q20:Q29)/SUM(Q20:Q29)</f>
        <v>7.8234956341572778E-2</v>
      </c>
      <c r="R42" s="12">
        <f>SUMPRODUCT($M$20:$M$29,R20:R29)/SUM(R20:R29)</f>
        <v>7.8561596134039749E-2</v>
      </c>
      <c r="S42" s="13">
        <f>SUMPRODUCT($M$20:$M$29,S20:S29)/SUM(S20:S29)</f>
        <v>7.8725294268631313E-2</v>
      </c>
      <c r="T42" s="12">
        <f>SUMPRODUCT($M$20:$M$29,T20:T29)/SUM(T20:T29)</f>
        <v>7.9236339443277862E-2</v>
      </c>
      <c r="U42" s="12">
        <f>SUMPRODUCT($M$20:$M$29,U20:U29)/SUM(U20:U29)</f>
        <v>7.956658008642209E-2</v>
      </c>
      <c r="V42" s="12">
        <f>SUMPRODUCT($M$20:$M$29,V20:V29)/SUM(V20:V29)</f>
        <v>7.9802950121287866E-2</v>
      </c>
      <c r="Z42" cm="1">
        <f t="array" ref="Z42">MMULT(TRANSPOSE($AA$20:$AA$34), MMULT($AE$20:$AS$34,Z20:Z34))</f>
        <v>1.8950226700496973E-4</v>
      </c>
      <c r="AA42" cm="1">
        <f t="array" ref="AA42">MMULT(TRANSPOSE($AA$20:$AA$34), MMULT($AE$20:$AS$34,AA20:AA34))</f>
        <v>1.0347969078548258E-3</v>
      </c>
      <c r="AB42" cm="1">
        <f t="array" ref="AB42">MMULT(TRANSPOSE($AA$20:$AA$34), MMULT($AE$20:$AS$34,AB20:AB34))</f>
        <v>7.8758244913999109E-5</v>
      </c>
    </row>
    <row r="43" spans="1:61" x14ac:dyDescent="0.25">
      <c r="M43" s="16" t="s">
        <v>68</v>
      </c>
      <c r="N43" s="12">
        <f>SUMPRODUCT($M$30:$M$33,N30:N33)/SUM(N30:N33)</f>
        <v>2.2446564102564102E-2</v>
      </c>
      <c r="O43" s="12">
        <f>SUMPRODUCT($M$30:$M$33,O30:O33)/SUM(O30:O33)</f>
        <v>2.2952308823529412E-2</v>
      </c>
      <c r="P43" s="12">
        <f>SUMPRODUCT($M$30:$M$33,P30:P33)/SUM(P30:P33)</f>
        <v>2.3949448275862067E-2</v>
      </c>
      <c r="Q43" s="12">
        <f>SUMPRODUCT($M$30:$M$33,Q30:Q33)/SUM(Q30:Q33)</f>
        <v>2.5572666666666671E-2</v>
      </c>
      <c r="R43" s="12">
        <f>SUMPRODUCT($M$30:$M$33,R30:R33)/SUM(R30:R33)</f>
        <v>2.6695105263157892E-2</v>
      </c>
      <c r="S43" s="13">
        <f>SUMPRODUCT($M$30:$M$33,S30:S33)/SUM(S30:S33)</f>
        <v>2.8473464285714289E-2</v>
      </c>
      <c r="T43" s="12">
        <f>SUMPRODUCT($M$30:$M$33,T30:T33)/SUM(T30:T33)</f>
        <v>2.9527666666666674E-2</v>
      </c>
      <c r="U43" s="12">
        <f>SUMPRODUCT($M$30:$M$33,U30:U33)/SUM(U30:U33)</f>
        <v>3.1796000000000005E-2</v>
      </c>
      <c r="V43" s="12" t="e">
        <f>SUMPRODUCT($M$30:$M$33,V30:V33)/SUM(V30:V33)</f>
        <v>#DIV/0!</v>
      </c>
      <c r="Z43" cm="1">
        <f t="array" ref="Z43">MMULT(TRANSPOSE($AB$20:$AB$34), MMULT($AE$20:$AS$34,Z20:Z34))</f>
        <v>-2.3101998375407169E-5</v>
      </c>
      <c r="AA43" cm="1">
        <f t="array" ref="AA43">MMULT(TRANSPOSE($AB$20:$AB$34), MMULT($AE$20:$AS$34,AA20:AA34))</f>
        <v>7.8758244913999109E-5</v>
      </c>
      <c r="AB43" cm="1">
        <f t="array" ref="AB43">MMULT(TRANSPOSE($AB$20:$AB$34), MMULT($AE$20:$AS$34,AB20:AB34))</f>
        <v>5.6086378935062214E-5</v>
      </c>
    </row>
    <row r="44" spans="1:61" x14ac:dyDescent="0.25">
      <c r="M44" s="16" t="s">
        <v>2</v>
      </c>
      <c r="N44" s="12">
        <f>$M$34*N34/N34</f>
        <v>1.2395E-2</v>
      </c>
      <c r="O44" s="12">
        <f>$M$34*O34/O34</f>
        <v>1.2395E-2</v>
      </c>
      <c r="P44" s="12">
        <f>$M$34*P34/P34</f>
        <v>1.2395E-2</v>
      </c>
      <c r="Q44" s="12">
        <f>$M$34*Q34/Q34</f>
        <v>1.2395E-2</v>
      </c>
      <c r="R44" s="12">
        <f>$M$34*R34/R34</f>
        <v>1.2395E-2</v>
      </c>
      <c r="S44" s="13">
        <f>$M$34*S34/S34</f>
        <v>1.2395E-2</v>
      </c>
      <c r="T44" s="12">
        <f>$M$34*T34/T34</f>
        <v>1.2395E-2</v>
      </c>
      <c r="U44" s="12">
        <f>$M$34*U34/U34</f>
        <v>1.2395E-2</v>
      </c>
      <c r="V44" s="12">
        <f>$M$34*V34/V34</f>
        <v>1.2395E-2</v>
      </c>
    </row>
    <row r="45" spans="1:61" x14ac:dyDescent="0.25">
      <c r="M45" s="16"/>
    </row>
    <row r="46" spans="1:61" x14ac:dyDescent="0.25">
      <c r="M46" s="16" t="s">
        <v>70</v>
      </c>
      <c r="N46" s="15">
        <f>N30/SUM(N30:N33)</f>
        <v>0.25641025641025644</v>
      </c>
      <c r="O46" s="15">
        <f>O30/SUM(O30:O33)</f>
        <v>0.24264705882352941</v>
      </c>
      <c r="P46" s="15">
        <f>P30/SUM(P30:P33)</f>
        <v>0.23275862068965517</v>
      </c>
      <c r="Q46" s="15">
        <f>Q30/SUM(Q30:Q33)</f>
        <v>0.22916666666666669</v>
      </c>
      <c r="R46" s="15">
        <f>R30/SUM(R30:R33)</f>
        <v>0.21052631578947367</v>
      </c>
      <c r="S46" s="15">
        <f>S30/SUM(S30:S33)</f>
        <v>0.17857142857142858</v>
      </c>
      <c r="T46" s="15">
        <f>T30/SUM(T30:T33)</f>
        <v>0</v>
      </c>
      <c r="U46" s="15">
        <f>U30/SUM(U30:U33)</f>
        <v>0</v>
      </c>
      <c r="V46" s="15" t="e">
        <f>V30/SUM(V30:V33)</f>
        <v>#DIV/0!</v>
      </c>
    </row>
  </sheetData>
  <mergeCells count="1">
    <mergeCell ref="S11:S16"/>
  </mergeCells>
  <conditionalFormatting sqref="N20:V34 G20:L34 X20:X34">
    <cfRule type="cellIs" dxfId="5" priority="5" operator="equal">
      <formula>0</formula>
    </cfRule>
  </conditionalFormatting>
  <conditionalFormatting sqref="Z20:AB34">
    <cfRule type="cellIs" dxfId="4" priority="3" operator="equal">
      <formula>0</formula>
    </cfRule>
  </conditionalFormatting>
  <conditionalFormatting sqref="P2:P4">
    <cfRule type="cellIs" dxfId="3" priority="2" operator="equal">
      <formula>0</formula>
    </cfRule>
  </conditionalFormatting>
  <conditionalFormatting sqref="K2:M4">
    <cfRule type="colorScale" priority="1">
      <colorScale>
        <cfvo type="num" val="-1"/>
        <cfvo type="num" val="0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8985-FFE2-4F37-AF21-FE6DA9E1F4F5}">
  <dimension ref="A1:BI46"/>
  <sheetViews>
    <sheetView workbookViewId="0">
      <selection activeCell="B7" sqref="B7:D14"/>
    </sheetView>
  </sheetViews>
  <sheetFormatPr defaultRowHeight="15" x14ac:dyDescent="0.25"/>
  <cols>
    <col min="1" max="1" width="5.140625" customWidth="1"/>
    <col min="13" max="13" width="1" customWidth="1"/>
    <col min="14" max="24" width="8" customWidth="1"/>
    <col min="26" max="29" width="8" customWidth="1"/>
    <col min="47" max="49" width="12.7109375" bestFit="1" customWidth="1"/>
    <col min="50" max="50" width="9.28515625" bestFit="1" customWidth="1"/>
    <col min="51" max="54" width="12.7109375" bestFit="1" customWidth="1"/>
    <col min="55" max="55" width="11.7109375" bestFit="1" customWidth="1"/>
    <col min="56" max="56" width="12.7109375" bestFit="1" customWidth="1"/>
    <col min="57" max="57" width="12" bestFit="1" customWidth="1"/>
    <col min="58" max="61" width="12.7109375" bestFit="1" customWidth="1"/>
  </cols>
  <sheetData>
    <row r="1" spans="2:27" ht="15.75" thickBot="1" x14ac:dyDescent="0.3">
      <c r="B1" s="23"/>
      <c r="C1" s="23" t="s">
        <v>3</v>
      </c>
      <c r="D1" s="23"/>
      <c r="E1" s="23" t="s">
        <v>4</v>
      </c>
      <c r="F1" s="23"/>
      <c r="G1" s="23"/>
      <c r="I1" t="s">
        <v>5</v>
      </c>
      <c r="K1" t="s">
        <v>6</v>
      </c>
      <c r="P1" t="s">
        <v>73</v>
      </c>
      <c r="S1" cm="1">
        <f t="array" ref="S1:AA1">N19:V19</f>
        <v>2080</v>
      </c>
      <c r="T1">
        <v>3070</v>
      </c>
      <c r="U1">
        <v>4060</v>
      </c>
      <c r="V1">
        <v>5050</v>
      </c>
      <c r="W1">
        <v>6040</v>
      </c>
      <c r="X1">
        <v>7030</v>
      </c>
      <c r="Y1">
        <v>8020</v>
      </c>
      <c r="Z1">
        <v>9010</v>
      </c>
      <c r="AA1">
        <v>9802</v>
      </c>
    </row>
    <row r="2" spans="2:27" x14ac:dyDescent="0.25">
      <c r="B2" s="23" t="s">
        <v>0</v>
      </c>
      <c r="C2" s="13" cm="1">
        <f t="array" ref="C2:C4">TRANSPOSE(Z37:AB37)</f>
        <v>7.8725294268631313E-2</v>
      </c>
      <c r="D2" s="23"/>
      <c r="E2" s="23">
        <f>Z41</f>
        <v>1.4579039605430388E-2</v>
      </c>
      <c r="F2" s="23">
        <f t="shared" ref="F2:G4" si="0">AA41</f>
        <v>1.7532864931294454E-4</v>
      </c>
      <c r="G2" s="23">
        <f t="shared" si="0"/>
        <v>-2.3101998375407169E-5</v>
      </c>
      <c r="I2" s="25" cm="1">
        <f t="array" ref="I2:I4">TRANSPOSE(Z38:AB38)</f>
        <v>0.12074369385367663</v>
      </c>
      <c r="K2" s="1">
        <f>E2/$I2/K$6</f>
        <v>1.0000000000000002</v>
      </c>
      <c r="L2" s="2">
        <f t="shared" ref="L2:M4" si="1">F2/$I2/L$6</f>
        <v>4.8096827817870835E-2</v>
      </c>
      <c r="M2" s="3">
        <f t="shared" si="1"/>
        <v>-2.5547969567592369E-2</v>
      </c>
      <c r="P2" s="10">
        <v>0.7</v>
      </c>
      <c r="S2" s="14">
        <f>SUM(N20:N29)</f>
        <v>0.19999999999999998</v>
      </c>
      <c r="T2" s="14">
        <f t="shared" ref="T2:AA2" si="2">SUM(O20:O29)</f>
        <v>0.30000000000000004</v>
      </c>
      <c r="U2" s="14">
        <f t="shared" si="2"/>
        <v>0.4</v>
      </c>
      <c r="V2" s="14">
        <f t="shared" si="2"/>
        <v>0.5</v>
      </c>
      <c r="W2" s="14">
        <f t="shared" si="2"/>
        <v>0.6</v>
      </c>
      <c r="X2" s="14">
        <f t="shared" si="2"/>
        <v>0.7</v>
      </c>
      <c r="Y2" s="14">
        <f t="shared" si="2"/>
        <v>0.8</v>
      </c>
      <c r="Z2" s="14">
        <f t="shared" si="2"/>
        <v>0.90000000000000013</v>
      </c>
      <c r="AA2" s="14">
        <f t="shared" si="2"/>
        <v>0.98</v>
      </c>
    </row>
    <row r="3" spans="2:27" x14ac:dyDescent="0.25">
      <c r="B3" s="23" t="s">
        <v>1</v>
      </c>
      <c r="C3" s="13">
        <v>2.7401566666666665E-2</v>
      </c>
      <c r="D3" s="23"/>
      <c r="E3" s="23">
        <f t="shared" ref="E3:E4" si="3">Z42</f>
        <v>1.7532864931294457E-4</v>
      </c>
      <c r="F3" s="23">
        <f t="shared" si="0"/>
        <v>9.1147338300476819E-4</v>
      </c>
      <c r="G3" s="23">
        <f t="shared" si="0"/>
        <v>7.7246787182069988E-5</v>
      </c>
      <c r="I3" s="25">
        <v>3.0190617466437617E-2</v>
      </c>
      <c r="K3" s="4">
        <f t="shared" ref="K3:K4" si="4">E3/$I3/K$6</f>
        <v>4.8096827817870842E-2</v>
      </c>
      <c r="L3" s="5">
        <f t="shared" si="1"/>
        <v>1.0000000000000002</v>
      </c>
      <c r="M3" s="6">
        <f t="shared" si="1"/>
        <v>0.34164866584002213</v>
      </c>
      <c r="P3" s="10">
        <v>0.28000000000000003</v>
      </c>
      <c r="S3" s="14">
        <f>SUM(N30:N33)</f>
        <v>0.78</v>
      </c>
      <c r="T3" s="14">
        <f t="shared" ref="T3:AA3" si="5">SUM(O30:O33)</f>
        <v>0.68</v>
      </c>
      <c r="U3" s="14">
        <f t="shared" si="5"/>
        <v>0.58000000000000007</v>
      </c>
      <c r="V3" s="14">
        <f t="shared" si="5"/>
        <v>0.48</v>
      </c>
      <c r="W3" s="14">
        <f t="shared" si="5"/>
        <v>0.38</v>
      </c>
      <c r="X3" s="14">
        <f t="shared" si="5"/>
        <v>0.28000000000000003</v>
      </c>
      <c r="Y3" s="14">
        <f t="shared" si="5"/>
        <v>0.18</v>
      </c>
      <c r="Z3" s="14">
        <f t="shared" si="5"/>
        <v>0.08</v>
      </c>
      <c r="AA3" s="14">
        <f t="shared" si="5"/>
        <v>0</v>
      </c>
    </row>
    <row r="4" spans="2:27" ht="6" customHeight="1" thickBot="1" x14ac:dyDescent="0.3">
      <c r="B4" s="23" t="s">
        <v>2</v>
      </c>
      <c r="C4" s="13">
        <v>1.2395000000000002E-2</v>
      </c>
      <c r="D4" s="23"/>
      <c r="E4" s="23">
        <f t="shared" si="3"/>
        <v>-2.3101998375407169E-5</v>
      </c>
      <c r="F4" s="23">
        <f t="shared" si="0"/>
        <v>7.7246787182069988E-5</v>
      </c>
      <c r="G4" s="23">
        <f t="shared" si="0"/>
        <v>5.6086378935062214E-5</v>
      </c>
      <c r="I4" s="25">
        <v>7.489083985045315E-3</v>
      </c>
      <c r="K4" s="7">
        <f t="shared" si="4"/>
        <v>-2.5547969567592369E-2</v>
      </c>
      <c r="L4" s="8">
        <f t="shared" si="1"/>
        <v>0.34164866584002218</v>
      </c>
      <c r="M4" s="9">
        <f t="shared" si="1"/>
        <v>1</v>
      </c>
      <c r="P4" s="10">
        <v>0.02</v>
      </c>
      <c r="S4" s="14">
        <f>N34</f>
        <v>0.02</v>
      </c>
      <c r="T4" s="14">
        <f t="shared" ref="T4:AA4" si="6">O34</f>
        <v>0.02</v>
      </c>
      <c r="U4" s="14">
        <f t="shared" si="6"/>
        <v>0.02</v>
      </c>
      <c r="V4" s="14">
        <f t="shared" si="6"/>
        <v>0.02</v>
      </c>
      <c r="W4" s="14">
        <f t="shared" si="6"/>
        <v>0.02</v>
      </c>
      <c r="X4" s="14">
        <f t="shared" si="6"/>
        <v>0.02</v>
      </c>
      <c r="Y4" s="14">
        <f t="shared" si="6"/>
        <v>0.02</v>
      </c>
      <c r="Z4" s="14">
        <f t="shared" si="6"/>
        <v>0.02</v>
      </c>
      <c r="AA4" s="14">
        <f t="shared" si="6"/>
        <v>0.02</v>
      </c>
    </row>
    <row r="6" spans="2:27" x14ac:dyDescent="0.25">
      <c r="K6" cm="1">
        <f t="array" ref="K6:M6">TRANSPOSE(_xlfn.ANCHORARRAY(I2))</f>
        <v>0.12074369385367663</v>
      </c>
      <c r="L6">
        <v>3.0190617466437617E-2</v>
      </c>
      <c r="M6">
        <v>7.489083985045315E-3</v>
      </c>
      <c r="O6" t="s">
        <v>71</v>
      </c>
      <c r="P6" s="12">
        <f>SUMPRODUCT(_xlfn.ANCHORARRAY($C$2),P2:P4)</f>
        <v>6.302804465470857E-2</v>
      </c>
      <c r="S6" s="12">
        <f>SUMPRODUCT(_xlfn.ANCHORARRAY($C$2),S2:S4)</f>
        <v>3.7366180853726262E-2</v>
      </c>
      <c r="T6" s="12">
        <f t="shared" ref="T6:AA6" si="7">SUMPRODUCT(_xlfn.ANCHORARRAY($C$2),T2:T4)</f>
        <v>4.2498553613922734E-2</v>
      </c>
      <c r="U6" s="12">
        <f t="shared" si="7"/>
        <v>4.7630926374119191E-2</v>
      </c>
      <c r="V6" s="12">
        <f t="shared" si="7"/>
        <v>5.2763299134315655E-2</v>
      </c>
      <c r="W6" s="12">
        <f t="shared" si="7"/>
        <v>5.789567189451212E-2</v>
      </c>
      <c r="X6" s="12">
        <f t="shared" si="7"/>
        <v>6.302804465470857E-2</v>
      </c>
      <c r="Y6" s="12">
        <f t="shared" si="7"/>
        <v>6.8160417414905042E-2</v>
      </c>
      <c r="Z6" s="12">
        <f t="shared" si="7"/>
        <v>7.3292790175101527E-2</v>
      </c>
      <c r="AA6" s="12">
        <f t="shared" si="7"/>
        <v>7.7398688383258682E-2</v>
      </c>
    </row>
    <row r="7" spans="2:27" x14ac:dyDescent="0.25">
      <c r="B7" s="26" t="s">
        <v>7</v>
      </c>
      <c r="C7" s="26"/>
      <c r="D7" s="26"/>
      <c r="E7" s="26"/>
      <c r="O7" t="s">
        <v>5</v>
      </c>
      <c r="P7" s="12" cm="1">
        <f t="array" ref="P7">SQRT(MMULT(TRANSPOSE(P2:P4), MMULT($E$2:$G$4,P2:P4)))</f>
        <v>8.5347281696798283E-2</v>
      </c>
      <c r="S7" s="12" cm="1">
        <f t="array" ref="S7">SQRT(MMULT(TRANSPOSE(S2:S4), MMULT($E$2:$G$4,S2:S4)))</f>
        <v>3.4563741801888384E-2</v>
      </c>
      <c r="T7" s="12" cm="1">
        <f t="array" ref="T7">SQRT(MMULT(TRANSPOSE(T2:T4), MMULT($E$2:$G$4,T2:T4)))</f>
        <v>4.2508343520916494E-2</v>
      </c>
      <c r="U7" s="12" cm="1">
        <f t="array" ref="U7">SQRT(MMULT(TRANSPOSE(U2:U4), MMULT($E$2:$G$4,U2:U4)))</f>
        <v>5.2173397476425326E-2</v>
      </c>
      <c r="V7" s="12" cm="1">
        <f t="array" ref="V7">SQRT(MMULT(TRANSPOSE(V2:V4), MMULT($E$2:$G$4,V2:V4)))</f>
        <v>6.2769137745950207E-2</v>
      </c>
      <c r="W7" s="12" cm="1">
        <f t="array" ref="W7">SQRT(MMULT(TRANSPOSE(W2:W4), MMULT($E$2:$G$4,W2:W4)))</f>
        <v>7.3896299070408539E-2</v>
      </c>
      <c r="X7" s="12" cm="1">
        <f t="array" ref="X7">SQRT(MMULT(TRANSPOSE(X2:X4), MMULT($E$2:$G$4,X2:X4)))</f>
        <v>8.5347281696798283E-2</v>
      </c>
      <c r="Y7" s="12" cm="1">
        <f t="array" ref="Y7">SQRT(MMULT(TRANSPOSE(Y2:Y4), MMULT($E$2:$G$4,Y2:Y4)))</f>
        <v>9.7007479523788284E-2</v>
      </c>
      <c r="Z7" s="12" cm="1">
        <f t="array" ref="Z7">SQRT(MMULT(TRANSPOSE(Z2:Z4), MMULT($E$2:$G$4,Z2:Z4)))</f>
        <v>0.10880965392776486</v>
      </c>
      <c r="AA7" s="12" cm="1">
        <f t="array" ref="AA7">SQRT(MMULT(TRANSPOSE(AA2:AA4), MMULT($E$2:$G$4,AA2:AA4)))</f>
        <v>0.11832508809745548</v>
      </c>
    </row>
    <row r="8" spans="2:27" x14ac:dyDescent="0.25">
      <c r="B8" s="26" t="s">
        <v>8</v>
      </c>
      <c r="C8" s="26"/>
      <c r="D8" s="26"/>
      <c r="E8" s="26"/>
    </row>
    <row r="9" spans="2:27" x14ac:dyDescent="0.25">
      <c r="B9" s="26" t="s">
        <v>9</v>
      </c>
      <c r="C9" s="26"/>
      <c r="D9" s="26"/>
      <c r="E9" s="26"/>
      <c r="P9" s="19">
        <f>P7-S38</f>
        <v>-8.9244706390392836E-5</v>
      </c>
      <c r="S9" s="22">
        <f t="shared" ref="S9:W10" si="8">S6-N37</f>
        <v>4.3271176713652326E-3</v>
      </c>
      <c r="T9" s="22">
        <f t="shared" si="8"/>
        <v>3.5533071359714549E-3</v>
      </c>
      <c r="U9" s="22">
        <f t="shared" si="8"/>
        <v>2.5568803049874009E-3</v>
      </c>
      <c r="V9" s="22">
        <f t="shared" si="8"/>
        <v>1.1230409635292621E-3</v>
      </c>
      <c r="W9" s="22">
        <f t="shared" si="8"/>
        <v>3.6667421408826534E-4</v>
      </c>
      <c r="X9" s="22">
        <f>X6-S37</f>
        <v>-3.0013133333334219E-4</v>
      </c>
      <c r="Y9" s="22">
        <f t="shared" ref="Y9:AA10" si="9">Y6-T37</f>
        <v>-7.9153413971724818E-4</v>
      </c>
      <c r="Z9" s="22">
        <f t="shared" si="9"/>
        <v>-1.1087119026783609E-3</v>
      </c>
      <c r="AA9" s="22">
        <f t="shared" si="9"/>
        <v>-1.0561027356034147E-3</v>
      </c>
    </row>
    <row r="10" spans="2:27" x14ac:dyDescent="0.25">
      <c r="B10" s="26" t="s">
        <v>10</v>
      </c>
      <c r="C10" s="26"/>
      <c r="D10" s="26"/>
      <c r="E10" s="26"/>
      <c r="P10" t="s">
        <v>75</v>
      </c>
      <c r="S10" s="22">
        <f t="shared" si="8"/>
        <v>6.0527645949728995E-3</v>
      </c>
      <c r="T10" s="22">
        <f t="shared" si="8"/>
        <v>4.0098360003395922E-3</v>
      </c>
      <c r="U10" s="22">
        <f t="shared" si="8"/>
        <v>2.5121653946587816E-3</v>
      </c>
      <c r="V10" s="22">
        <f t="shared" si="8"/>
        <v>1.0848992680454611E-3</v>
      </c>
      <c r="W10" s="22">
        <f t="shared" si="8"/>
        <v>5.8684829656809046E-4</v>
      </c>
      <c r="X10" s="22">
        <f>X7-S38</f>
        <v>-8.9244706390392836E-5</v>
      </c>
      <c r="Y10" s="22">
        <f t="shared" si="9"/>
        <v>-1.3384125677578518E-3</v>
      </c>
      <c r="Z10" s="22">
        <f t="shared" si="9"/>
        <v>-3.0234791548455209E-3</v>
      </c>
      <c r="AA10" s="22">
        <f t="shared" si="9"/>
        <v>-4.8167026926344003E-3</v>
      </c>
    </row>
    <row r="11" spans="2:27" x14ac:dyDescent="0.25">
      <c r="B11" s="26" t="s">
        <v>77</v>
      </c>
      <c r="S11" s="24" t="s">
        <v>76</v>
      </c>
      <c r="X11" t="s">
        <v>75</v>
      </c>
    </row>
    <row r="12" spans="2:27" x14ac:dyDescent="0.25">
      <c r="B12" s="26" t="s">
        <v>0</v>
      </c>
      <c r="C12" s="26" t="s">
        <v>11</v>
      </c>
      <c r="D12" s="26"/>
      <c r="E12" s="26"/>
      <c r="S12" s="24"/>
    </row>
    <row r="13" spans="2:27" x14ac:dyDescent="0.25">
      <c r="B13" s="26" t="s">
        <v>1</v>
      </c>
      <c r="C13" s="26" t="s">
        <v>69</v>
      </c>
      <c r="D13" s="26"/>
      <c r="E13" s="26"/>
      <c r="S13" s="24"/>
    </row>
    <row r="14" spans="2:27" x14ac:dyDescent="0.25">
      <c r="B14" s="26" t="s">
        <v>2</v>
      </c>
      <c r="C14" s="26" t="s">
        <v>12</v>
      </c>
      <c r="D14" s="26"/>
      <c r="E14" s="26"/>
      <c r="S14" s="24"/>
    </row>
    <row r="15" spans="2:27" x14ac:dyDescent="0.25">
      <c r="B15" s="26"/>
      <c r="C15" s="26"/>
      <c r="D15" s="26"/>
      <c r="E15" s="26"/>
      <c r="S15" s="24"/>
    </row>
    <row r="16" spans="2:27" x14ac:dyDescent="0.25">
      <c r="B16" s="26"/>
      <c r="C16" s="26"/>
      <c r="D16" s="26"/>
      <c r="E16" s="26"/>
      <c r="S16" s="24"/>
    </row>
    <row r="19" spans="1:61" x14ac:dyDescent="0.25">
      <c r="E19" t="s">
        <v>13</v>
      </c>
      <c r="F19" t="s">
        <v>14</v>
      </c>
      <c r="G19" t="s">
        <v>15</v>
      </c>
      <c r="H19" t="s">
        <v>16</v>
      </c>
      <c r="I19" t="s">
        <v>17</v>
      </c>
      <c r="J19" t="s">
        <v>18</v>
      </c>
      <c r="K19" t="s">
        <v>19</v>
      </c>
      <c r="L19" t="s">
        <v>64</v>
      </c>
      <c r="M19" t="s">
        <v>65</v>
      </c>
      <c r="N19">
        <v>2080</v>
      </c>
      <c r="O19">
        <v>3070</v>
      </c>
      <c r="P19">
        <v>4060</v>
      </c>
      <c r="Q19">
        <v>5050</v>
      </c>
      <c r="R19">
        <v>6040</v>
      </c>
      <c r="S19">
        <v>7030</v>
      </c>
      <c r="T19">
        <v>8020</v>
      </c>
      <c r="U19">
        <v>9010</v>
      </c>
      <c r="V19">
        <v>9802</v>
      </c>
      <c r="X19" t="s">
        <v>20</v>
      </c>
      <c r="Z19" t="str" cm="1">
        <f t="array" ref="Z19:AB19">TRANSPOSE(B2:B4)</f>
        <v>Equities</v>
      </c>
      <c r="AA19" t="str">
        <v>Bonds</v>
      </c>
      <c r="AB19" t="str">
        <v>Cash</v>
      </c>
      <c r="AE19" t="s">
        <v>74</v>
      </c>
      <c r="AU19" t="s">
        <v>72</v>
      </c>
    </row>
    <row r="20" spans="1:61" x14ac:dyDescent="0.25">
      <c r="A20" cm="1">
        <f t="array" ref="A20:A34">_xlfn.SEQUENCE(COUNTA(B20:B34))</f>
        <v>1</v>
      </c>
      <c r="B20" t="s">
        <v>21</v>
      </c>
      <c r="C20" t="s">
        <v>22</v>
      </c>
      <c r="D20" t="s">
        <v>23</v>
      </c>
      <c r="E20" t="s">
        <v>24</v>
      </c>
      <c r="F20" t="s">
        <v>25</v>
      </c>
      <c r="G20" s="20">
        <v>8.6750000000000008E-2</v>
      </c>
      <c r="H20" s="20">
        <v>8.9999999999999998E-4</v>
      </c>
      <c r="I20" s="20">
        <v>0</v>
      </c>
      <c r="J20" s="20">
        <v>0</v>
      </c>
      <c r="K20" s="20">
        <v>0</v>
      </c>
      <c r="L20" s="20">
        <v>2.0230000000000018E-3</v>
      </c>
      <c r="M20" s="12">
        <f>G20-SUM(H20:L20)</f>
        <v>8.3827000000000013E-2</v>
      </c>
      <c r="N20" s="21">
        <v>0.05</v>
      </c>
      <c r="O20" s="21">
        <v>7.4999999999999997E-2</v>
      </c>
      <c r="P20" s="21">
        <v>9.5000000000000001E-2</v>
      </c>
      <c r="Q20" s="21">
        <v>0.115</v>
      </c>
      <c r="R20" s="21">
        <v>0.13500000000000001</v>
      </c>
      <c r="S20" s="21">
        <v>0.15</v>
      </c>
      <c r="T20" s="21">
        <v>0.15</v>
      </c>
      <c r="U20" s="21">
        <v>0.15</v>
      </c>
      <c r="V20" s="21">
        <v>0.15</v>
      </c>
      <c r="X20" s="11" cm="1">
        <f t="array" ref="X20">SQRT(INDEX(AE20:AS20,A20))</f>
        <v>0.12572215823425112</v>
      </c>
      <c r="Z20" s="10" cm="1">
        <f t="array" ref="Z20:Z29">S20:S29/SUM(S20:S29)</f>
        <v>0.2142857142857143</v>
      </c>
      <c r="AA20" s="10">
        <v>0</v>
      </c>
      <c r="AB20" s="10">
        <v>0</v>
      </c>
      <c r="AE20">
        <f>AU20*12</f>
        <v>1.5806061071078077E-2</v>
      </c>
      <c r="AF20">
        <f t="shared" ref="AF20:AS34" si="10">AV20*12</f>
        <v>2.0419580780172905E-2</v>
      </c>
      <c r="AG20">
        <f t="shared" si="10"/>
        <v>1.1978656120403521E-2</v>
      </c>
      <c r="AH20">
        <f t="shared" si="10"/>
        <v>1.2253367449891712E-2</v>
      </c>
      <c r="AI20">
        <f t="shared" si="10"/>
        <v>1.3617734464435833E-2</v>
      </c>
      <c r="AJ20">
        <f t="shared" si="10"/>
        <v>1.1510415288163513E-2</v>
      </c>
      <c r="AK20">
        <f t="shared" si="10"/>
        <v>8.9164076857883943E-3</v>
      </c>
      <c r="AL20">
        <f t="shared" si="10"/>
        <v>8.4688325947766749E-3</v>
      </c>
      <c r="AM20">
        <f t="shared" si="10"/>
        <v>7.7914569135329112E-3</v>
      </c>
      <c r="AN20">
        <f t="shared" si="10"/>
        <v>1.0382280244060051E-2</v>
      </c>
      <c r="AO20">
        <f t="shared" si="10"/>
        <v>5.8406486674868088E-4</v>
      </c>
      <c r="AP20">
        <f t="shared" si="10"/>
        <v>2.1153415417675173E-5</v>
      </c>
      <c r="AQ20">
        <f t="shared" si="10"/>
        <v>1.9966188667622502E-4</v>
      </c>
      <c r="AR20">
        <f t="shared" si="10"/>
        <v>8.464472727340651E-4</v>
      </c>
      <c r="AS20">
        <f t="shared" si="10"/>
        <v>-6.4393317789959568E-5</v>
      </c>
      <c r="AU20" s="18">
        <v>1.3171717559231732E-3</v>
      </c>
      <c r="AV20" s="18">
        <v>1.7016317316810754E-3</v>
      </c>
      <c r="AW20" s="18">
        <v>9.9822134336696017E-4</v>
      </c>
      <c r="AX20" s="18">
        <v>1.0211139541576426E-3</v>
      </c>
      <c r="AY20" s="18">
        <v>1.1348112053696528E-3</v>
      </c>
      <c r="AZ20" s="18">
        <v>9.5920127401362605E-4</v>
      </c>
      <c r="BA20" s="18">
        <v>7.4303397381569956E-4</v>
      </c>
      <c r="BB20" s="18">
        <v>7.0573604956472287E-4</v>
      </c>
      <c r="BC20" s="18">
        <v>6.492880761277426E-4</v>
      </c>
      <c r="BD20" s="18">
        <v>8.6519002033833752E-4</v>
      </c>
      <c r="BE20" s="18">
        <v>4.8672072229056738E-5</v>
      </c>
      <c r="BF20" s="18">
        <v>1.7627846181395978E-6</v>
      </c>
      <c r="BG20" s="18">
        <v>1.6638490556352086E-5</v>
      </c>
      <c r="BH20" s="18">
        <v>7.0537272727838759E-5</v>
      </c>
      <c r="BI20" s="18">
        <v>-5.3661098158299634E-6</v>
      </c>
    </row>
    <row r="21" spans="1:61" x14ac:dyDescent="0.25">
      <c r="A21">
        <v>2</v>
      </c>
      <c r="B21" t="s">
        <v>26</v>
      </c>
      <c r="C21" t="s">
        <v>27</v>
      </c>
      <c r="D21" t="s">
        <v>23</v>
      </c>
      <c r="E21" t="s">
        <v>24</v>
      </c>
      <c r="F21" t="s">
        <v>25</v>
      </c>
      <c r="G21" s="20">
        <v>9.2999999999999999E-2</v>
      </c>
      <c r="H21" s="20">
        <v>2.5000000000000001E-3</v>
      </c>
      <c r="I21" s="20">
        <v>0</v>
      </c>
      <c r="J21" s="20">
        <v>0</v>
      </c>
      <c r="K21" s="20">
        <v>0</v>
      </c>
      <c r="L21" s="20">
        <v>2.1600000000000005E-3</v>
      </c>
      <c r="M21" s="12">
        <f t="shared" ref="M21:M34" si="11">G21-SUM(H21:L21)</f>
        <v>8.8340000000000002E-2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0.02</v>
      </c>
      <c r="U21" s="21">
        <v>0.03</v>
      </c>
      <c r="V21" s="21">
        <v>0.04</v>
      </c>
      <c r="X21" s="11" cm="1">
        <f t="array" ref="X21">SQRT(INDEX(AE21:AS21,A21))</f>
        <v>0.16841813435706579</v>
      </c>
      <c r="Z21" s="10">
        <v>0</v>
      </c>
      <c r="AA21" s="10">
        <v>0</v>
      </c>
      <c r="AB21" s="10">
        <v>0</v>
      </c>
      <c r="AE21">
        <f t="shared" ref="AE21:AE34" si="12">AU21*12</f>
        <v>2.0419580780172905E-2</v>
      </c>
      <c r="AF21">
        <f t="shared" si="10"/>
        <v>2.8364667980314666E-2</v>
      </c>
      <c r="AG21">
        <f t="shared" si="10"/>
        <v>1.5815026955135193E-2</v>
      </c>
      <c r="AH21">
        <f t="shared" si="10"/>
        <v>1.6333214292254039E-2</v>
      </c>
      <c r="AI21">
        <f t="shared" si="10"/>
        <v>1.8070694488224542E-2</v>
      </c>
      <c r="AJ21">
        <f t="shared" si="10"/>
        <v>1.4896103491818845E-2</v>
      </c>
      <c r="AK21">
        <f t="shared" si="10"/>
        <v>1.1672514335072184E-2</v>
      </c>
      <c r="AL21">
        <f t="shared" si="10"/>
        <v>1.048825645892372E-2</v>
      </c>
      <c r="AM21">
        <f t="shared" si="10"/>
        <v>9.8505686305290358E-3</v>
      </c>
      <c r="AN21">
        <f t="shared" si="10"/>
        <v>1.4023664981876124E-2</v>
      </c>
      <c r="AO21">
        <f t="shared" si="10"/>
        <v>7.249614634276606E-4</v>
      </c>
      <c r="AP21">
        <f t="shared" si="10"/>
        <v>6.2572168099604301E-5</v>
      </c>
      <c r="AQ21">
        <f t="shared" si="10"/>
        <v>2.7595113654443323E-4</v>
      </c>
      <c r="AR21">
        <f t="shared" si="10"/>
        <v>1.0142413421293552E-3</v>
      </c>
      <c r="AS21">
        <f t="shared" si="10"/>
        <v>-4.8747296107546563E-5</v>
      </c>
      <c r="AU21" s="18">
        <v>1.7016317316810754E-3</v>
      </c>
      <c r="AV21" s="18">
        <v>2.3637223316928888E-3</v>
      </c>
      <c r="AW21" s="18">
        <v>1.3179189129279326E-3</v>
      </c>
      <c r="AX21" s="18">
        <v>1.3611011910211698E-3</v>
      </c>
      <c r="AY21" s="18">
        <v>1.5058912073520453E-3</v>
      </c>
      <c r="AZ21" s="18">
        <v>1.2413419576515704E-3</v>
      </c>
      <c r="BA21" s="18">
        <v>9.727095279226819E-4</v>
      </c>
      <c r="BB21" s="18">
        <v>8.7402137157697665E-4</v>
      </c>
      <c r="BC21" s="18">
        <v>8.2088071921075298E-4</v>
      </c>
      <c r="BD21" s="18">
        <v>1.168638748489677E-3</v>
      </c>
      <c r="BE21" s="18">
        <v>6.0413455285638386E-5</v>
      </c>
      <c r="BF21" s="18">
        <v>5.2143473416336915E-6</v>
      </c>
      <c r="BG21" s="18">
        <v>2.2995928045369437E-5</v>
      </c>
      <c r="BH21" s="18">
        <v>8.4520111844112921E-5</v>
      </c>
      <c r="BI21" s="18">
        <v>-4.0622746756288802E-6</v>
      </c>
    </row>
    <row r="22" spans="1:61" x14ac:dyDescent="0.25">
      <c r="A22">
        <v>3</v>
      </c>
      <c r="B22" t="s">
        <v>28</v>
      </c>
      <c r="C22" t="s">
        <v>29</v>
      </c>
      <c r="D22" t="s">
        <v>23</v>
      </c>
      <c r="E22" t="s">
        <v>30</v>
      </c>
      <c r="F22" t="s">
        <v>31</v>
      </c>
      <c r="G22" s="20">
        <v>8.6800000000000002E-2</v>
      </c>
      <c r="H22" s="20">
        <v>2.7900000000000004E-3</v>
      </c>
      <c r="I22" s="20">
        <v>0</v>
      </c>
      <c r="J22" s="20">
        <v>5.9645535105657809E-4</v>
      </c>
      <c r="K22" s="20">
        <v>1.8399999999999997E-4</v>
      </c>
      <c r="L22" s="20">
        <v>1.0685085530892386E-2</v>
      </c>
      <c r="M22" s="12">
        <f t="shared" si="11"/>
        <v>7.2544459118051033E-2</v>
      </c>
      <c r="N22" s="21">
        <v>0.02</v>
      </c>
      <c r="O22" s="21">
        <v>2.5000000000000001E-2</v>
      </c>
      <c r="P22" s="21">
        <v>3.5000000000000003E-2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X22" s="11" cm="1">
        <f t="array" ref="X22">SQRT(INDEX(AE22:AS22,A22))</f>
        <v>0.15187697481540013</v>
      </c>
      <c r="Z22" s="10">
        <v>0</v>
      </c>
      <c r="AA22" s="10">
        <v>0</v>
      </c>
      <c r="AB22" s="10">
        <v>0</v>
      </c>
      <c r="AE22">
        <f t="shared" si="12"/>
        <v>1.1978656120403521E-2</v>
      </c>
      <c r="AF22">
        <f t="shared" si="10"/>
        <v>1.5815026955135193E-2</v>
      </c>
      <c r="AG22">
        <f t="shared" si="10"/>
        <v>2.3066615479077686E-2</v>
      </c>
      <c r="AH22">
        <f t="shared" si="10"/>
        <v>2.3682254373219865E-2</v>
      </c>
      <c r="AI22">
        <f t="shared" si="10"/>
        <v>2.5305712203200402E-2</v>
      </c>
      <c r="AJ22">
        <f t="shared" si="10"/>
        <v>1.6063798524744318E-2</v>
      </c>
      <c r="AK22">
        <f t="shared" si="10"/>
        <v>1.5055288569984577E-2</v>
      </c>
      <c r="AL22">
        <f t="shared" si="10"/>
        <v>1.3538198677575112E-2</v>
      </c>
      <c r="AM22">
        <f t="shared" si="10"/>
        <v>1.2856856312817969E-2</v>
      </c>
      <c r="AN22">
        <f t="shared" si="10"/>
        <v>1.7923620081849997E-2</v>
      </c>
      <c r="AO22">
        <f t="shared" si="10"/>
        <v>4.0079570935953239E-4</v>
      </c>
      <c r="AP22">
        <f t="shared" si="10"/>
        <v>7.0947287627899671E-5</v>
      </c>
      <c r="AQ22">
        <f t="shared" si="10"/>
        <v>1.3126448417168654E-4</v>
      </c>
      <c r="AR22">
        <f t="shared" si="10"/>
        <v>9.7307621940011398E-4</v>
      </c>
      <c r="AS22">
        <f t="shared" si="10"/>
        <v>-5.039433632228535E-6</v>
      </c>
      <c r="AU22" s="18">
        <v>9.9822134336696017E-4</v>
      </c>
      <c r="AV22" s="18">
        <v>1.3179189129279326E-3</v>
      </c>
      <c r="AW22" s="18">
        <v>1.9222179565898071E-3</v>
      </c>
      <c r="AX22" s="18">
        <v>1.9735211977683219E-3</v>
      </c>
      <c r="AY22" s="18">
        <v>2.1088093502667003E-3</v>
      </c>
      <c r="AZ22" s="18">
        <v>1.3386498770620264E-3</v>
      </c>
      <c r="BA22" s="18">
        <v>1.254607380832048E-3</v>
      </c>
      <c r="BB22" s="18">
        <v>1.1281832231312594E-3</v>
      </c>
      <c r="BC22" s="18">
        <v>1.0714046927348308E-3</v>
      </c>
      <c r="BD22" s="18">
        <v>1.4936350068208331E-3</v>
      </c>
      <c r="BE22" s="18">
        <v>3.3399642446627699E-5</v>
      </c>
      <c r="BF22" s="18">
        <v>5.912273968991639E-6</v>
      </c>
      <c r="BG22" s="18">
        <v>1.0938707014307213E-5</v>
      </c>
      <c r="BH22" s="18">
        <v>8.1089684950009494E-5</v>
      </c>
      <c r="BI22" s="18">
        <v>-4.1995280268571123E-7</v>
      </c>
    </row>
    <row r="23" spans="1:61" x14ac:dyDescent="0.25">
      <c r="A23">
        <v>4</v>
      </c>
      <c r="B23" t="s">
        <v>32</v>
      </c>
      <c r="C23" t="s">
        <v>33</v>
      </c>
      <c r="D23" t="s">
        <v>23</v>
      </c>
      <c r="E23" t="s">
        <v>30</v>
      </c>
      <c r="F23" t="s">
        <v>31</v>
      </c>
      <c r="G23" s="20">
        <v>9.0800000000000006E-2</v>
      </c>
      <c r="H23" s="20">
        <v>3.3500000000000001E-3</v>
      </c>
      <c r="I23" s="20">
        <v>0</v>
      </c>
      <c r="J23" s="20">
        <v>5.9645535105657809E-4</v>
      </c>
      <c r="K23" s="20">
        <v>1.8399999999999997E-4</v>
      </c>
      <c r="L23" s="20">
        <v>1.0728341135379012E-2</v>
      </c>
      <c r="M23" s="12">
        <f t="shared" si="11"/>
        <v>7.5941203513564412E-2</v>
      </c>
      <c r="N23" s="21">
        <v>0</v>
      </c>
      <c r="O23" s="21">
        <v>0</v>
      </c>
      <c r="P23" s="21">
        <v>0</v>
      </c>
      <c r="Q23" s="21">
        <v>2.4999999999999998E-2</v>
      </c>
      <c r="R23" s="21">
        <v>3.5000000000000003E-2</v>
      </c>
      <c r="S23" s="21">
        <v>0.04</v>
      </c>
      <c r="T23" s="21">
        <v>4.4999999999999998E-2</v>
      </c>
      <c r="U23" s="21">
        <v>0.05</v>
      </c>
      <c r="V23" s="21">
        <v>5.5E-2</v>
      </c>
      <c r="X23" s="11" cm="1">
        <f t="array" ref="X23">SQRT(INDEX(AE23:AS23,A23))</f>
        <v>0.16323642133241673</v>
      </c>
      <c r="Z23" s="10">
        <v>5.7142857142857148E-2</v>
      </c>
      <c r="AA23" s="10">
        <v>0</v>
      </c>
      <c r="AB23" s="10">
        <v>0</v>
      </c>
      <c r="AE23">
        <f t="shared" si="12"/>
        <v>1.2253367449891712E-2</v>
      </c>
      <c r="AF23">
        <f t="shared" si="10"/>
        <v>1.6333214292254039E-2</v>
      </c>
      <c r="AG23">
        <f t="shared" si="10"/>
        <v>2.3682254373219865E-2</v>
      </c>
      <c r="AH23">
        <f t="shared" si="10"/>
        <v>2.6646129249414278E-2</v>
      </c>
      <c r="AI23">
        <f t="shared" si="10"/>
        <v>2.5970978461964129E-2</v>
      </c>
      <c r="AJ23">
        <f t="shared" si="10"/>
        <v>1.6719965983671644E-2</v>
      </c>
      <c r="AK23">
        <f t="shared" si="10"/>
        <v>1.5579458190593618E-2</v>
      </c>
      <c r="AL23">
        <f t="shared" si="10"/>
        <v>1.3328444196163212E-2</v>
      </c>
      <c r="AM23">
        <f t="shared" si="10"/>
        <v>1.2793239146818031E-2</v>
      </c>
      <c r="AN23">
        <f t="shared" si="10"/>
        <v>1.8542136021983971E-2</v>
      </c>
      <c r="AO23">
        <f t="shared" si="10"/>
        <v>2.258835503624967E-4</v>
      </c>
      <c r="AP23">
        <f t="shared" si="10"/>
        <v>7.3451336917883267E-5</v>
      </c>
      <c r="AQ23">
        <f t="shared" si="10"/>
        <v>5.2536421116778547E-5</v>
      </c>
      <c r="AR23">
        <f t="shared" si="10"/>
        <v>7.3915500020189549E-4</v>
      </c>
      <c r="AS23">
        <f t="shared" si="10"/>
        <v>1.1556607289381049E-5</v>
      </c>
      <c r="AU23" s="18">
        <v>1.0211139541576426E-3</v>
      </c>
      <c r="AV23" s="18">
        <v>1.3611011910211698E-3</v>
      </c>
      <c r="AW23" s="18">
        <v>1.9735211977683219E-3</v>
      </c>
      <c r="AX23" s="18">
        <v>2.2205107707845232E-3</v>
      </c>
      <c r="AY23" s="18">
        <v>2.1642482051636774E-3</v>
      </c>
      <c r="AZ23" s="18">
        <v>1.3933304986393036E-3</v>
      </c>
      <c r="BA23" s="18">
        <v>1.2982881825494683E-3</v>
      </c>
      <c r="BB23" s="18">
        <v>1.110703683013601E-3</v>
      </c>
      <c r="BC23" s="18">
        <v>1.0661032622348359E-3</v>
      </c>
      <c r="BD23" s="18">
        <v>1.5451780018319976E-3</v>
      </c>
      <c r="BE23" s="18">
        <v>1.8823629196874726E-5</v>
      </c>
      <c r="BF23" s="18">
        <v>6.1209447431569386E-6</v>
      </c>
      <c r="BG23" s="18">
        <v>4.3780350930648789E-6</v>
      </c>
      <c r="BH23" s="18">
        <v>6.1596250016824624E-5</v>
      </c>
      <c r="BI23" s="18">
        <v>9.6305060744842074E-7</v>
      </c>
    </row>
    <row r="24" spans="1:61" x14ac:dyDescent="0.25">
      <c r="A24">
        <v>5</v>
      </c>
      <c r="B24" t="s">
        <v>34</v>
      </c>
      <c r="C24" t="s">
        <v>35</v>
      </c>
      <c r="D24" t="s">
        <v>23</v>
      </c>
      <c r="E24" t="s">
        <v>30</v>
      </c>
      <c r="F24" t="s">
        <v>31</v>
      </c>
      <c r="G24" s="20">
        <v>9.2399999999999996E-2</v>
      </c>
      <c r="H24" s="20">
        <v>5.5300000000000002E-3</v>
      </c>
      <c r="I24" s="20">
        <v>0</v>
      </c>
      <c r="J24" s="20">
        <v>5.9645535105657809E-4</v>
      </c>
      <c r="K24" s="20">
        <v>2.7599999999999993E-4</v>
      </c>
      <c r="L24" s="20">
        <v>1.0437476439624043E-2</v>
      </c>
      <c r="M24" s="12">
        <f t="shared" si="11"/>
        <v>7.5560068209319375E-2</v>
      </c>
      <c r="N24" s="21">
        <v>0</v>
      </c>
      <c r="O24" s="21">
        <v>0</v>
      </c>
      <c r="P24" s="21">
        <v>0</v>
      </c>
      <c r="Q24" s="21">
        <v>0.02</v>
      </c>
      <c r="R24" s="21">
        <v>0.02</v>
      </c>
      <c r="S24" s="21">
        <v>2.5000000000000001E-2</v>
      </c>
      <c r="T24" s="21">
        <v>0.03</v>
      </c>
      <c r="U24" s="21">
        <v>3.5000000000000003E-2</v>
      </c>
      <c r="V24" s="21">
        <v>0.04</v>
      </c>
      <c r="X24" s="11" cm="1">
        <f t="array" ref="X24">SQRT(INDEX(AE24:AS24,A24))</f>
        <v>0.17755759693209877</v>
      </c>
      <c r="Z24" s="10">
        <v>3.5714285714285719E-2</v>
      </c>
      <c r="AA24" s="10">
        <v>0</v>
      </c>
      <c r="AB24" s="10">
        <v>0</v>
      </c>
      <c r="AE24">
        <f t="shared" si="12"/>
        <v>1.3617734464435833E-2</v>
      </c>
      <c r="AF24">
        <f t="shared" si="10"/>
        <v>1.8070694488224542E-2</v>
      </c>
      <c r="AG24">
        <f t="shared" si="10"/>
        <v>2.5305712203200402E-2</v>
      </c>
      <c r="AH24">
        <f t="shared" si="10"/>
        <v>2.5970978461964129E-2</v>
      </c>
      <c r="AI24">
        <f t="shared" si="10"/>
        <v>3.1526700228301653E-2</v>
      </c>
      <c r="AJ24">
        <f t="shared" si="10"/>
        <v>1.8339601107862979E-2</v>
      </c>
      <c r="AK24">
        <f t="shared" si="10"/>
        <v>1.6492045148158323E-2</v>
      </c>
      <c r="AL24">
        <f t="shared" si="10"/>
        <v>1.4242293844088937E-2</v>
      </c>
      <c r="AM24">
        <f t="shared" si="10"/>
        <v>1.3449336349085711E-2</v>
      </c>
      <c r="AN24">
        <f t="shared" si="10"/>
        <v>2.0175790497839605E-2</v>
      </c>
      <c r="AO24">
        <f t="shared" si="10"/>
        <v>3.4119356491277281E-4</v>
      </c>
      <c r="AP24">
        <f t="shared" si="10"/>
        <v>1.0550861494958447E-4</v>
      </c>
      <c r="AQ24">
        <f t="shared" si="10"/>
        <v>2.0228719455965235E-4</v>
      </c>
      <c r="AR24">
        <f t="shared" si="10"/>
        <v>1.0687196823668554E-3</v>
      </c>
      <c r="AS24">
        <f t="shared" si="10"/>
        <v>-1.7948726790315256E-5</v>
      </c>
      <c r="AU24" s="18">
        <v>1.1348112053696528E-3</v>
      </c>
      <c r="AV24" s="18">
        <v>1.5058912073520453E-3</v>
      </c>
      <c r="AW24" s="18">
        <v>2.1088093502667003E-3</v>
      </c>
      <c r="AX24" s="18">
        <v>2.1642482051636774E-3</v>
      </c>
      <c r="AY24" s="18">
        <v>2.6272250190251378E-3</v>
      </c>
      <c r="AZ24" s="18">
        <v>1.5283000923219151E-3</v>
      </c>
      <c r="BA24" s="18">
        <v>1.3743370956798603E-3</v>
      </c>
      <c r="BB24" s="18">
        <v>1.1868578203407447E-3</v>
      </c>
      <c r="BC24" s="18">
        <v>1.1207780290904759E-3</v>
      </c>
      <c r="BD24" s="18">
        <v>1.6813158748199672E-3</v>
      </c>
      <c r="BE24" s="18">
        <v>2.8432797076064401E-5</v>
      </c>
      <c r="BF24" s="18">
        <v>8.7923845791320388E-6</v>
      </c>
      <c r="BG24" s="18">
        <v>1.6857266213304362E-5</v>
      </c>
      <c r="BH24" s="18">
        <v>8.9059973530571291E-5</v>
      </c>
      <c r="BI24" s="18">
        <v>-1.4957272325262713E-6</v>
      </c>
    </row>
    <row r="25" spans="1:61" x14ac:dyDescent="0.25">
      <c r="A25">
        <v>6</v>
      </c>
      <c r="B25" t="s">
        <v>36</v>
      </c>
      <c r="C25" t="s">
        <v>37</v>
      </c>
      <c r="D25" t="s">
        <v>23</v>
      </c>
      <c r="E25" t="s">
        <v>38</v>
      </c>
      <c r="F25" t="s">
        <v>31</v>
      </c>
      <c r="G25" s="20">
        <v>8.900000000000001E-2</v>
      </c>
      <c r="H25" s="20">
        <v>3.0100000000000001E-3</v>
      </c>
      <c r="I25" s="20">
        <v>2.6825E-3</v>
      </c>
      <c r="J25" s="20">
        <v>0</v>
      </c>
      <c r="K25" s="20">
        <v>2.3999999999999998E-4</v>
      </c>
      <c r="L25" s="20">
        <v>1.0794448207535815E-2</v>
      </c>
      <c r="M25" s="12">
        <f t="shared" si="11"/>
        <v>7.2273051792464196E-2</v>
      </c>
      <c r="N25" s="21">
        <v>0</v>
      </c>
      <c r="O25" s="21">
        <v>0</v>
      </c>
      <c r="P25" s="21">
        <v>0</v>
      </c>
      <c r="Q25" s="21">
        <v>0</v>
      </c>
      <c r="R25" s="21">
        <v>2.5000000000000001E-2</v>
      </c>
      <c r="S25" s="21">
        <v>7.4999999999999997E-2</v>
      </c>
      <c r="T25" s="21">
        <v>0.13</v>
      </c>
      <c r="U25" s="21">
        <v>0.2</v>
      </c>
      <c r="V25" s="21">
        <v>0.28000000000000003</v>
      </c>
      <c r="X25" s="11" cm="1">
        <f t="array" ref="X25">SQRT(INDEX(AE25:AS25,A25))</f>
        <v>0.14583047100803356</v>
      </c>
      <c r="Z25" s="10">
        <v>0.10714285714285715</v>
      </c>
      <c r="AA25" s="10">
        <v>0</v>
      </c>
      <c r="AB25" s="10">
        <v>0</v>
      </c>
      <c r="AE25">
        <f t="shared" si="12"/>
        <v>1.1510415288163513E-2</v>
      </c>
      <c r="AF25">
        <f t="shared" si="10"/>
        <v>1.4896103491818845E-2</v>
      </c>
      <c r="AG25">
        <f t="shared" si="10"/>
        <v>1.6063798524744318E-2</v>
      </c>
      <c r="AH25">
        <f t="shared" si="10"/>
        <v>1.6719965983671644E-2</v>
      </c>
      <c r="AI25">
        <f t="shared" si="10"/>
        <v>1.8339601107862979E-2</v>
      </c>
      <c r="AJ25">
        <f t="shared" si="10"/>
        <v>2.1266526274424921E-2</v>
      </c>
      <c r="AK25">
        <f t="shared" si="10"/>
        <v>1.5376601283758099E-2</v>
      </c>
      <c r="AL25">
        <f t="shared" si="10"/>
        <v>1.4054167041397714E-2</v>
      </c>
      <c r="AM25">
        <f t="shared" si="10"/>
        <v>1.2867057886173233E-2</v>
      </c>
      <c r="AN25">
        <f t="shared" si="10"/>
        <v>1.5933266693086295E-2</v>
      </c>
      <c r="AO25">
        <f t="shared" si="10"/>
        <v>-9.722073737876095E-6</v>
      </c>
      <c r="AP25">
        <f t="shared" si="10"/>
        <v>-3.3819602315245466E-5</v>
      </c>
      <c r="AQ25">
        <f t="shared" si="10"/>
        <v>-6.4851840701867679E-5</v>
      </c>
      <c r="AR25">
        <f t="shared" si="10"/>
        <v>6.706553904626759E-4</v>
      </c>
      <c r="AS25">
        <f t="shared" si="10"/>
        <v>-2.0838091611221545E-5</v>
      </c>
      <c r="AU25" s="18">
        <v>9.5920127401362605E-4</v>
      </c>
      <c r="AV25" s="18">
        <v>1.2413419576515704E-3</v>
      </c>
      <c r="AW25" s="18">
        <v>1.3386498770620264E-3</v>
      </c>
      <c r="AX25" s="18">
        <v>1.3933304986393036E-3</v>
      </c>
      <c r="AY25" s="18">
        <v>1.5283000923219151E-3</v>
      </c>
      <c r="AZ25" s="18">
        <v>1.7722105228687435E-3</v>
      </c>
      <c r="BA25" s="18">
        <v>1.2813834403131749E-3</v>
      </c>
      <c r="BB25" s="18">
        <v>1.1711805867831429E-3</v>
      </c>
      <c r="BC25" s="18">
        <v>1.0722548238477694E-3</v>
      </c>
      <c r="BD25" s="18">
        <v>1.3277722244238578E-3</v>
      </c>
      <c r="BE25" s="18">
        <v>-8.1017281148967466E-7</v>
      </c>
      <c r="BF25" s="18">
        <v>-2.8183001929371221E-6</v>
      </c>
      <c r="BG25" s="18">
        <v>-5.4043200584889733E-6</v>
      </c>
      <c r="BH25" s="18">
        <v>5.5887949205222996E-5</v>
      </c>
      <c r="BI25" s="18">
        <v>-1.7365076342684622E-6</v>
      </c>
    </row>
    <row r="26" spans="1:61" x14ac:dyDescent="0.25">
      <c r="A26">
        <v>7</v>
      </c>
      <c r="B26" t="s">
        <v>39</v>
      </c>
      <c r="C26" t="s">
        <v>40</v>
      </c>
      <c r="D26" t="s">
        <v>23</v>
      </c>
      <c r="E26" t="s">
        <v>38</v>
      </c>
      <c r="F26" t="s">
        <v>25</v>
      </c>
      <c r="G26" s="20">
        <v>0.10312500000000002</v>
      </c>
      <c r="H26" s="20">
        <v>5.8999999999999999E-3</v>
      </c>
      <c r="I26" s="20">
        <v>0</v>
      </c>
      <c r="J26" s="20">
        <v>0</v>
      </c>
      <c r="K26" s="20">
        <v>3.1199999999999999E-4</v>
      </c>
      <c r="L26" s="20">
        <v>1.2348000000000001E-2</v>
      </c>
      <c r="M26" s="12">
        <f t="shared" si="11"/>
        <v>8.4565000000000029E-2</v>
      </c>
      <c r="N26" s="21">
        <v>0.06</v>
      </c>
      <c r="O26" s="21">
        <v>0.1</v>
      </c>
      <c r="P26" s="21">
        <v>0.14499999999999999</v>
      </c>
      <c r="Q26" s="21">
        <v>0.185</v>
      </c>
      <c r="R26" s="21">
        <v>0.22500000000000001</v>
      </c>
      <c r="S26" s="21">
        <v>0.255</v>
      </c>
      <c r="T26" s="21">
        <v>0.28999999999999998</v>
      </c>
      <c r="U26" s="21">
        <v>0.32500000000000001</v>
      </c>
      <c r="V26" s="21">
        <v>0.34</v>
      </c>
      <c r="X26" s="11" cm="1">
        <f t="array" ref="X26">SQRT(INDEX(AE26:AS26,A26))</f>
        <v>0.14429844970513733</v>
      </c>
      <c r="Z26" s="10">
        <v>0.36428571428571432</v>
      </c>
      <c r="AA26" s="10">
        <v>0</v>
      </c>
      <c r="AB26" s="10">
        <v>0</v>
      </c>
      <c r="AE26">
        <f t="shared" si="12"/>
        <v>8.9164076857883943E-3</v>
      </c>
      <c r="AF26">
        <f t="shared" si="10"/>
        <v>1.1672514335072184E-2</v>
      </c>
      <c r="AG26">
        <f t="shared" si="10"/>
        <v>1.5055288569984577E-2</v>
      </c>
      <c r="AH26">
        <f t="shared" si="10"/>
        <v>1.5579458190593618E-2</v>
      </c>
      <c r="AI26">
        <f t="shared" si="10"/>
        <v>1.6492045148158323E-2</v>
      </c>
      <c r="AJ26">
        <f t="shared" si="10"/>
        <v>1.5376601283758099E-2</v>
      </c>
      <c r="AK26">
        <f t="shared" si="10"/>
        <v>2.0822042587306046E-2</v>
      </c>
      <c r="AL26">
        <f t="shared" si="10"/>
        <v>1.5668490390405288E-2</v>
      </c>
      <c r="AM26">
        <f t="shared" si="10"/>
        <v>1.6129410565790189E-2</v>
      </c>
      <c r="AN26">
        <f t="shared" si="10"/>
        <v>1.6708165132547508E-2</v>
      </c>
      <c r="AO26">
        <f t="shared" si="10"/>
        <v>2.1511439644465252E-4</v>
      </c>
      <c r="AP26">
        <f t="shared" si="10"/>
        <v>-1.1821068955456213E-4</v>
      </c>
      <c r="AQ26">
        <f t="shared" si="10"/>
        <v>-3.4858452743809221E-4</v>
      </c>
      <c r="AR26">
        <f t="shared" si="10"/>
        <v>-1.4032493807543487E-4</v>
      </c>
      <c r="AS26">
        <f t="shared" si="10"/>
        <v>-1.8577916068155711E-5</v>
      </c>
      <c r="AU26" s="18">
        <v>7.4303397381569956E-4</v>
      </c>
      <c r="AV26" s="18">
        <v>9.727095279226819E-4</v>
      </c>
      <c r="AW26" s="18">
        <v>1.254607380832048E-3</v>
      </c>
      <c r="AX26" s="18">
        <v>1.2982881825494683E-3</v>
      </c>
      <c r="AY26" s="18">
        <v>1.3743370956798603E-3</v>
      </c>
      <c r="AZ26" s="18">
        <v>1.2813834403131749E-3</v>
      </c>
      <c r="BA26" s="18">
        <v>1.7351702156088373E-3</v>
      </c>
      <c r="BB26" s="18">
        <v>1.3057075325337739E-3</v>
      </c>
      <c r="BC26" s="18">
        <v>1.3441175471491824E-3</v>
      </c>
      <c r="BD26" s="18">
        <v>1.392347094378959E-3</v>
      </c>
      <c r="BE26" s="18">
        <v>1.7926199703721043E-5</v>
      </c>
      <c r="BF26" s="18">
        <v>-9.85089079621351E-6</v>
      </c>
      <c r="BG26" s="18">
        <v>-2.9048710619841017E-5</v>
      </c>
      <c r="BH26" s="18">
        <v>-1.1693744839619572E-5</v>
      </c>
      <c r="BI26" s="18">
        <v>-1.5481596723463093E-6</v>
      </c>
    </row>
    <row r="27" spans="1:61" x14ac:dyDescent="0.25">
      <c r="A27">
        <v>8</v>
      </c>
      <c r="B27" t="s">
        <v>41</v>
      </c>
      <c r="C27" t="s">
        <v>42</v>
      </c>
      <c r="D27" t="s">
        <v>23</v>
      </c>
      <c r="E27" t="s">
        <v>43</v>
      </c>
      <c r="F27" t="s">
        <v>25</v>
      </c>
      <c r="G27" s="20">
        <v>8.1000000000000003E-2</v>
      </c>
      <c r="H27" s="20">
        <v>1.5399999999999997E-3</v>
      </c>
      <c r="I27" s="20">
        <v>0</v>
      </c>
      <c r="J27" s="20">
        <v>0</v>
      </c>
      <c r="K27" s="20">
        <v>3.5999999999999997E-4</v>
      </c>
      <c r="L27" s="20">
        <v>1.3568800000000002E-2</v>
      </c>
      <c r="M27" s="12">
        <f t="shared" si="11"/>
        <v>6.5531199999999998E-2</v>
      </c>
      <c r="N27" s="21">
        <v>0.05</v>
      </c>
      <c r="O27" s="21">
        <v>0.08</v>
      </c>
      <c r="P27" s="21">
        <v>0.105</v>
      </c>
      <c r="Q27" s="21">
        <v>0.13500000000000001</v>
      </c>
      <c r="R27" s="21">
        <v>0.13500000000000001</v>
      </c>
      <c r="S27" s="21">
        <v>0.12</v>
      </c>
      <c r="T27" s="21">
        <v>0.09</v>
      </c>
      <c r="U27" s="21">
        <v>0.05</v>
      </c>
      <c r="V27" s="21">
        <v>0</v>
      </c>
      <c r="X27" s="11" cm="1">
        <f t="array" ref="X27">SQRT(INDEX(AE27:AS27,A27))</f>
        <v>0.13155380397604477</v>
      </c>
      <c r="Z27" s="10">
        <v>0.17142857142857143</v>
      </c>
      <c r="AA27" s="10">
        <v>0</v>
      </c>
      <c r="AB27" s="10">
        <v>0</v>
      </c>
      <c r="AE27">
        <f t="shared" si="12"/>
        <v>8.4688325947766749E-3</v>
      </c>
      <c r="AF27">
        <f t="shared" si="10"/>
        <v>1.048825645892372E-2</v>
      </c>
      <c r="AG27">
        <f t="shared" si="10"/>
        <v>1.3538198677575112E-2</v>
      </c>
      <c r="AH27">
        <f t="shared" si="10"/>
        <v>1.3328444196163212E-2</v>
      </c>
      <c r="AI27">
        <f t="shared" si="10"/>
        <v>1.4242293844088937E-2</v>
      </c>
      <c r="AJ27">
        <f t="shared" si="10"/>
        <v>1.4054167041397714E-2</v>
      </c>
      <c r="AK27">
        <f t="shared" si="10"/>
        <v>1.5668490390405288E-2</v>
      </c>
      <c r="AL27">
        <f t="shared" si="10"/>
        <v>1.7306403340567614E-2</v>
      </c>
      <c r="AM27">
        <f t="shared" si="10"/>
        <v>1.5872409472064919E-2</v>
      </c>
      <c r="AN27">
        <f t="shared" si="10"/>
        <v>1.5263934001592471E-2</v>
      </c>
      <c r="AO27">
        <f t="shared" si="10"/>
        <v>4.9711676932247218E-4</v>
      </c>
      <c r="AP27">
        <f t="shared" si="10"/>
        <v>-3.6617725105711794E-5</v>
      </c>
      <c r="AQ27">
        <f t="shared" si="10"/>
        <v>-1.2607696769574654E-4</v>
      </c>
      <c r="AR27">
        <f t="shared" si="10"/>
        <v>3.7422154371914105E-4</v>
      </c>
      <c r="AS27">
        <f t="shared" si="10"/>
        <v>8.8801069938775975E-6</v>
      </c>
      <c r="AU27" s="18">
        <v>7.0573604956472287E-4</v>
      </c>
      <c r="AV27" s="18">
        <v>8.7402137157697665E-4</v>
      </c>
      <c r="AW27" s="18">
        <v>1.1281832231312594E-3</v>
      </c>
      <c r="AX27" s="18">
        <v>1.110703683013601E-3</v>
      </c>
      <c r="AY27" s="18">
        <v>1.1868578203407447E-3</v>
      </c>
      <c r="AZ27" s="18">
        <v>1.1711805867831429E-3</v>
      </c>
      <c r="BA27" s="18">
        <v>1.3057075325337739E-3</v>
      </c>
      <c r="BB27" s="18">
        <v>1.4422002783806346E-3</v>
      </c>
      <c r="BC27" s="18">
        <v>1.3227007893387432E-3</v>
      </c>
      <c r="BD27" s="18">
        <v>1.2719945001327059E-3</v>
      </c>
      <c r="BE27" s="18">
        <v>4.1426397443539349E-5</v>
      </c>
      <c r="BF27" s="18">
        <v>-3.0514770921426495E-6</v>
      </c>
      <c r="BG27" s="18">
        <v>-1.0506413974645544E-5</v>
      </c>
      <c r="BH27" s="18">
        <v>3.1185128643261754E-5</v>
      </c>
      <c r="BI27" s="18">
        <v>7.4000891615646642E-7</v>
      </c>
    </row>
    <row r="28" spans="1:61" x14ac:dyDescent="0.25">
      <c r="A28">
        <v>9</v>
      </c>
      <c r="B28" t="s">
        <v>44</v>
      </c>
      <c r="C28" t="s">
        <v>45</v>
      </c>
      <c r="D28" t="s">
        <v>23</v>
      </c>
      <c r="E28" t="s">
        <v>43</v>
      </c>
      <c r="F28" t="s">
        <v>25</v>
      </c>
      <c r="G28" s="20">
        <v>0.08</v>
      </c>
      <c r="H28" s="20">
        <v>1.64E-3</v>
      </c>
      <c r="I28" s="20">
        <v>0</v>
      </c>
      <c r="J28" s="20">
        <v>0</v>
      </c>
      <c r="K28" s="20">
        <v>3.1199999999999999E-4</v>
      </c>
      <c r="L28" s="20">
        <v>1.3540800000000002E-2</v>
      </c>
      <c r="M28" s="12">
        <f t="shared" si="11"/>
        <v>6.4507200000000001E-2</v>
      </c>
      <c r="N28" s="21">
        <v>0.02</v>
      </c>
      <c r="O28" s="21">
        <v>0.02</v>
      </c>
      <c r="P28" s="21">
        <v>0.02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X28" s="11" cm="1">
        <f t="array" ref="X28">SQRT(INDEX(AE28:AS28,A28))</f>
        <v>0.12792153641612883</v>
      </c>
      <c r="Z28" s="10">
        <v>0</v>
      </c>
      <c r="AA28" s="10">
        <v>0</v>
      </c>
      <c r="AB28" s="10">
        <v>0</v>
      </c>
      <c r="AE28">
        <f t="shared" si="12"/>
        <v>7.7914569135329112E-3</v>
      </c>
      <c r="AF28">
        <f t="shared" si="10"/>
        <v>9.8505686305290358E-3</v>
      </c>
      <c r="AG28">
        <f t="shared" si="10"/>
        <v>1.2856856312817969E-2</v>
      </c>
      <c r="AH28">
        <f t="shared" si="10"/>
        <v>1.2793239146818031E-2</v>
      </c>
      <c r="AI28">
        <f t="shared" si="10"/>
        <v>1.3449336349085711E-2</v>
      </c>
      <c r="AJ28">
        <f t="shared" si="10"/>
        <v>1.2867057886173233E-2</v>
      </c>
      <c r="AK28">
        <f t="shared" si="10"/>
        <v>1.6129410565790189E-2</v>
      </c>
      <c r="AL28">
        <f t="shared" si="10"/>
        <v>1.5872409472064919E-2</v>
      </c>
      <c r="AM28">
        <f t="shared" si="10"/>
        <v>1.6363919479062971E-2</v>
      </c>
      <c r="AN28">
        <f t="shared" si="10"/>
        <v>1.5337393414624464E-2</v>
      </c>
      <c r="AO28">
        <f t="shared" si="10"/>
        <v>3.1335573162468583E-4</v>
      </c>
      <c r="AP28">
        <f t="shared" si="10"/>
        <v>-9.8438489779994226E-5</v>
      </c>
      <c r="AQ28">
        <f t="shared" si="10"/>
        <v>-2.2108816373346497E-4</v>
      </c>
      <c r="AR28">
        <f t="shared" si="10"/>
        <v>-4.2217906392812089E-5</v>
      </c>
      <c r="AS28">
        <f t="shared" si="10"/>
        <v>-1.2991358284918264E-6</v>
      </c>
      <c r="AU28" s="18">
        <v>6.492880761277426E-4</v>
      </c>
      <c r="AV28" s="18">
        <v>8.2088071921075298E-4</v>
      </c>
      <c r="AW28" s="18">
        <v>1.0714046927348308E-3</v>
      </c>
      <c r="AX28" s="18">
        <v>1.0661032622348359E-3</v>
      </c>
      <c r="AY28" s="18">
        <v>1.1207780290904759E-3</v>
      </c>
      <c r="AZ28" s="18">
        <v>1.0722548238477694E-3</v>
      </c>
      <c r="BA28" s="18">
        <v>1.3441175471491824E-3</v>
      </c>
      <c r="BB28" s="18">
        <v>1.3227007893387432E-3</v>
      </c>
      <c r="BC28" s="18">
        <v>1.3636599565885808E-3</v>
      </c>
      <c r="BD28" s="18">
        <v>1.278116117885372E-3</v>
      </c>
      <c r="BE28" s="18">
        <v>2.6112977635390486E-5</v>
      </c>
      <c r="BF28" s="18">
        <v>-8.2032074816661855E-6</v>
      </c>
      <c r="BG28" s="18">
        <v>-1.8424013644455413E-5</v>
      </c>
      <c r="BH28" s="18">
        <v>-3.5181588660676738E-6</v>
      </c>
      <c r="BI28" s="18">
        <v>-1.0826131904098554E-7</v>
      </c>
    </row>
    <row r="29" spans="1:61" x14ac:dyDescent="0.25">
      <c r="A29">
        <v>10</v>
      </c>
      <c r="B29" t="s">
        <v>46</v>
      </c>
      <c r="C29" t="s">
        <v>47</v>
      </c>
      <c r="D29" t="s">
        <v>23</v>
      </c>
      <c r="E29" t="s">
        <v>48</v>
      </c>
      <c r="F29" t="s">
        <v>31</v>
      </c>
      <c r="G29" s="20">
        <v>0.10099999999999999</v>
      </c>
      <c r="H29" s="20">
        <v>6.0999999999999995E-3</v>
      </c>
      <c r="I29" s="20">
        <v>4.5000000000000005E-3</v>
      </c>
      <c r="J29" s="20">
        <v>5.9645535105657809E-4</v>
      </c>
      <c r="K29" s="20">
        <v>5.2800000000000004E-4</v>
      </c>
      <c r="L29" s="20">
        <v>1.0455308710899523E-2</v>
      </c>
      <c r="M29" s="12">
        <f t="shared" si="11"/>
        <v>7.8820235938043881E-2</v>
      </c>
      <c r="N29" s="21">
        <v>0</v>
      </c>
      <c r="O29" s="21">
        <v>0</v>
      </c>
      <c r="P29" s="21">
        <v>0</v>
      </c>
      <c r="Q29" s="21">
        <v>0.02</v>
      </c>
      <c r="R29" s="21">
        <v>2.5000000000000001E-2</v>
      </c>
      <c r="S29" s="21">
        <v>3.5000000000000003E-2</v>
      </c>
      <c r="T29" s="21">
        <v>4.4999999999999998E-2</v>
      </c>
      <c r="U29" s="21">
        <v>0.06</v>
      </c>
      <c r="V29" s="21">
        <v>7.4999999999999997E-2</v>
      </c>
      <c r="X29" s="11" cm="1">
        <f t="array" ref="X29">SQRT(INDEX(AE29:AS29,A29))</f>
        <v>0.17819767121323479</v>
      </c>
      <c r="Z29" s="10">
        <v>5.000000000000001E-2</v>
      </c>
      <c r="AA29" s="10">
        <v>0</v>
      </c>
      <c r="AB29" s="10">
        <v>0</v>
      </c>
      <c r="AE29">
        <f t="shared" si="12"/>
        <v>1.0382280244060051E-2</v>
      </c>
      <c r="AF29">
        <f t="shared" si="10"/>
        <v>1.4023664981876124E-2</v>
      </c>
      <c r="AG29">
        <f t="shared" si="10"/>
        <v>1.7923620081849997E-2</v>
      </c>
      <c r="AH29">
        <f t="shared" si="10"/>
        <v>1.8542136021983971E-2</v>
      </c>
      <c r="AI29">
        <f t="shared" si="10"/>
        <v>2.0175790497839605E-2</v>
      </c>
      <c r="AJ29">
        <f t="shared" si="10"/>
        <v>1.5933266693086295E-2</v>
      </c>
      <c r="AK29">
        <f t="shared" si="10"/>
        <v>1.6708165132547508E-2</v>
      </c>
      <c r="AL29">
        <f t="shared" si="10"/>
        <v>1.5263934001592471E-2</v>
      </c>
      <c r="AM29">
        <f t="shared" si="10"/>
        <v>1.5337393414624464E-2</v>
      </c>
      <c r="AN29">
        <f t="shared" si="10"/>
        <v>3.1754410025820128E-2</v>
      </c>
      <c r="AO29">
        <f t="shared" si="10"/>
        <v>-1.5660024265723151E-4</v>
      </c>
      <c r="AP29">
        <f t="shared" si="10"/>
        <v>-9.7221668347378373E-5</v>
      </c>
      <c r="AQ29">
        <f t="shared" si="10"/>
        <v>-1.9756172607377881E-4</v>
      </c>
      <c r="AR29">
        <f t="shared" si="10"/>
        <v>-4.000783695395461E-4</v>
      </c>
      <c r="AS29">
        <f t="shared" si="10"/>
        <v>-3.6895276775783775E-5</v>
      </c>
      <c r="AU29" s="18">
        <v>8.6519002033833752E-4</v>
      </c>
      <c r="AV29" s="18">
        <v>1.168638748489677E-3</v>
      </c>
      <c r="AW29" s="18">
        <v>1.4936350068208331E-3</v>
      </c>
      <c r="AX29" s="18">
        <v>1.5451780018319976E-3</v>
      </c>
      <c r="AY29" s="18">
        <v>1.6813158748199672E-3</v>
      </c>
      <c r="AZ29" s="18">
        <v>1.3277722244238578E-3</v>
      </c>
      <c r="BA29" s="18">
        <v>1.392347094378959E-3</v>
      </c>
      <c r="BB29" s="18">
        <v>1.2719945001327059E-3</v>
      </c>
      <c r="BC29" s="18">
        <v>1.278116117885372E-3</v>
      </c>
      <c r="BD29" s="18">
        <v>2.6462008354850106E-3</v>
      </c>
      <c r="BE29" s="18">
        <v>-1.3050020221435958E-5</v>
      </c>
      <c r="BF29" s="18">
        <v>-8.1018056956148639E-6</v>
      </c>
      <c r="BG29" s="18">
        <v>-1.6463477172814901E-5</v>
      </c>
      <c r="BH29" s="18">
        <v>-3.3339864128295511E-5</v>
      </c>
      <c r="BI29" s="18">
        <v>-3.0746063979819814E-6</v>
      </c>
    </row>
    <row r="30" spans="1:61" x14ac:dyDescent="0.25">
      <c r="A30">
        <v>11</v>
      </c>
      <c r="B30" t="s">
        <v>49</v>
      </c>
      <c r="C30" t="s">
        <v>50</v>
      </c>
      <c r="D30" t="s">
        <v>51</v>
      </c>
      <c r="E30" t="s">
        <v>52</v>
      </c>
      <c r="F30" t="s">
        <v>25</v>
      </c>
      <c r="G30" s="20">
        <v>3.9900000000000005E-2</v>
      </c>
      <c r="H30" s="20">
        <v>2.2999999999999995E-3</v>
      </c>
      <c r="I30" s="20">
        <v>0</v>
      </c>
      <c r="J30" s="20">
        <v>0</v>
      </c>
      <c r="K30" s="20">
        <v>0</v>
      </c>
      <c r="L30" s="20">
        <v>1.0528000000000003E-2</v>
      </c>
      <c r="M30" s="12">
        <f t="shared" si="11"/>
        <v>2.7072000000000002E-2</v>
      </c>
      <c r="N30" s="21">
        <v>0.2</v>
      </c>
      <c r="O30" s="21">
        <v>0.16500000000000001</v>
      </c>
      <c r="P30" s="21">
        <v>0.13500000000000001</v>
      </c>
      <c r="Q30" s="21">
        <v>0.11</v>
      </c>
      <c r="R30" s="21">
        <v>0.08</v>
      </c>
      <c r="S30" s="21">
        <v>0.05</v>
      </c>
      <c r="T30" s="21">
        <v>0</v>
      </c>
      <c r="U30" s="21">
        <v>0</v>
      </c>
      <c r="V30" s="21">
        <v>0</v>
      </c>
      <c r="X30" s="11" cm="1">
        <f t="array" ref="X30">SQRT(INDEX(AE30:AS30,A30))</f>
        <v>2.5799516103699488E-2</v>
      </c>
      <c r="Z30" s="10">
        <v>0</v>
      </c>
      <c r="AA30" s="17" cm="1">
        <f t="array" ref="AA30:AA34">S30:S34/SUM(S30:S34)</f>
        <v>0.16666666666666666</v>
      </c>
      <c r="AB30" s="10">
        <v>0</v>
      </c>
      <c r="AE30">
        <f t="shared" si="12"/>
        <v>5.8406486674868088E-4</v>
      </c>
      <c r="AF30">
        <f t="shared" si="10"/>
        <v>7.249614634276606E-4</v>
      </c>
      <c r="AG30">
        <f t="shared" si="10"/>
        <v>4.0079570935953239E-4</v>
      </c>
      <c r="AH30">
        <f t="shared" si="10"/>
        <v>2.258835503624967E-4</v>
      </c>
      <c r="AI30">
        <f t="shared" si="10"/>
        <v>3.4119356491277281E-4</v>
      </c>
      <c r="AJ30">
        <f t="shared" si="10"/>
        <v>-9.722073737876095E-6</v>
      </c>
      <c r="AK30">
        <f t="shared" si="10"/>
        <v>2.1511439644465252E-4</v>
      </c>
      <c r="AL30">
        <f t="shared" si="10"/>
        <v>4.9711676932247218E-4</v>
      </c>
      <c r="AM30">
        <f t="shared" si="10"/>
        <v>3.1335573162468583E-4</v>
      </c>
      <c r="AN30">
        <f t="shared" si="10"/>
        <v>-1.5660024265723151E-4</v>
      </c>
      <c r="AO30">
        <f t="shared" si="10"/>
        <v>6.6561503118504927E-4</v>
      </c>
      <c r="AP30">
        <f t="shared" si="10"/>
        <v>1.7046555494837649E-4</v>
      </c>
      <c r="AQ30">
        <f t="shared" si="10"/>
        <v>3.5891225059238676E-4</v>
      </c>
      <c r="AR30">
        <f t="shared" si="10"/>
        <v>7.5842191732306929E-4</v>
      </c>
      <c r="AS30">
        <f t="shared" si="10"/>
        <v>4.1575782242228621E-5</v>
      </c>
      <c r="AU30" s="18">
        <v>4.8672072229056738E-5</v>
      </c>
      <c r="AV30" s="18">
        <v>6.0413455285638386E-5</v>
      </c>
      <c r="AW30" s="18">
        <v>3.3399642446627699E-5</v>
      </c>
      <c r="AX30" s="18">
        <v>1.8823629196874726E-5</v>
      </c>
      <c r="AY30" s="18">
        <v>2.8432797076064401E-5</v>
      </c>
      <c r="AZ30" s="18">
        <v>-8.1017281148967466E-7</v>
      </c>
      <c r="BA30" s="18">
        <v>1.7926199703721043E-5</v>
      </c>
      <c r="BB30" s="18">
        <v>4.1426397443539349E-5</v>
      </c>
      <c r="BC30" s="18">
        <v>2.6112977635390486E-5</v>
      </c>
      <c r="BD30" s="18">
        <v>-1.3050020221435958E-5</v>
      </c>
      <c r="BE30" s="18">
        <v>5.5467919265420772E-5</v>
      </c>
      <c r="BF30" s="18">
        <v>1.4205462912364708E-5</v>
      </c>
      <c r="BG30" s="18">
        <v>2.9909354216032232E-5</v>
      </c>
      <c r="BH30" s="18">
        <v>6.3201826443589108E-5</v>
      </c>
      <c r="BI30" s="18">
        <v>3.4646485201857184E-6</v>
      </c>
    </row>
    <row r="31" spans="1:61" x14ac:dyDescent="0.25">
      <c r="A31">
        <v>12</v>
      </c>
      <c r="B31" t="s">
        <v>53</v>
      </c>
      <c r="C31" t="s">
        <v>54</v>
      </c>
      <c r="D31" t="s">
        <v>51</v>
      </c>
      <c r="E31" t="s">
        <v>55</v>
      </c>
      <c r="F31" t="s">
        <v>25</v>
      </c>
      <c r="G31" s="20">
        <v>2.3850000000000003E-2</v>
      </c>
      <c r="H31" s="20">
        <v>2.5000000000000001E-3</v>
      </c>
      <c r="I31" s="20">
        <v>0</v>
      </c>
      <c r="J31" s="20">
        <v>0</v>
      </c>
      <c r="K31" s="20">
        <v>1.3000000000000002E-4</v>
      </c>
      <c r="L31" s="20">
        <v>5.9780000000000015E-3</v>
      </c>
      <c r="M31" s="12">
        <f t="shared" si="11"/>
        <v>1.5242000000000002E-2</v>
      </c>
      <c r="N31" s="21">
        <v>0.27</v>
      </c>
      <c r="O31" s="21">
        <v>0.22</v>
      </c>
      <c r="P31" s="21">
        <v>0.155</v>
      </c>
      <c r="Q31" s="21">
        <v>0.08</v>
      </c>
      <c r="R31" s="21">
        <v>0.04</v>
      </c>
      <c r="S31" s="21">
        <v>0</v>
      </c>
      <c r="T31" s="21">
        <v>0</v>
      </c>
      <c r="U31" s="21">
        <v>0</v>
      </c>
      <c r="V31" s="21">
        <v>0</v>
      </c>
      <c r="X31" s="11" cm="1">
        <f t="array" ref="X31">SQRT(INDEX(AE31:AS31,A31))</f>
        <v>1.2028555080054648E-2</v>
      </c>
      <c r="Z31" s="10">
        <v>0</v>
      </c>
      <c r="AA31" s="10">
        <v>0</v>
      </c>
      <c r="AB31" s="10">
        <v>0</v>
      </c>
      <c r="AE31">
        <f t="shared" si="12"/>
        <v>2.1153415417675173E-5</v>
      </c>
      <c r="AF31">
        <f t="shared" si="10"/>
        <v>6.2572168099604301E-5</v>
      </c>
      <c r="AG31">
        <f t="shared" si="10"/>
        <v>7.0947287627899671E-5</v>
      </c>
      <c r="AH31">
        <f t="shared" si="10"/>
        <v>7.3451336917883267E-5</v>
      </c>
      <c r="AI31">
        <f t="shared" si="10"/>
        <v>1.0550861494958447E-4</v>
      </c>
      <c r="AJ31">
        <f t="shared" si="10"/>
        <v>-3.3819602315245466E-5</v>
      </c>
      <c r="AK31">
        <f t="shared" si="10"/>
        <v>-1.1821068955456213E-4</v>
      </c>
      <c r="AL31">
        <f t="shared" si="10"/>
        <v>-3.6617725105711794E-5</v>
      </c>
      <c r="AM31">
        <f t="shared" si="10"/>
        <v>-9.8438489779994226E-5</v>
      </c>
      <c r="AN31">
        <f t="shared" si="10"/>
        <v>-9.7221668347378373E-5</v>
      </c>
      <c r="AO31">
        <f t="shared" si="10"/>
        <v>1.7046555494837649E-4</v>
      </c>
      <c r="AP31">
        <f t="shared" si="10"/>
        <v>1.446861373139085E-4</v>
      </c>
      <c r="AQ31">
        <f t="shared" si="10"/>
        <v>2.4528795737242088E-4</v>
      </c>
      <c r="AR31">
        <f t="shared" si="10"/>
        <v>3.5835465452171609E-4</v>
      </c>
      <c r="AS31">
        <f t="shared" si="10"/>
        <v>6.1383861283156874E-5</v>
      </c>
      <c r="AU31" s="18">
        <v>1.7627846181395978E-6</v>
      </c>
      <c r="AV31" s="18">
        <v>5.2143473416336915E-6</v>
      </c>
      <c r="AW31" s="18">
        <v>5.912273968991639E-6</v>
      </c>
      <c r="AX31" s="18">
        <v>6.1209447431569386E-6</v>
      </c>
      <c r="AY31" s="18">
        <v>8.7923845791320388E-6</v>
      </c>
      <c r="AZ31" s="18">
        <v>-2.8183001929371221E-6</v>
      </c>
      <c r="BA31" s="18">
        <v>-9.85089079621351E-6</v>
      </c>
      <c r="BB31" s="18">
        <v>-3.0514770921426495E-6</v>
      </c>
      <c r="BC31" s="18">
        <v>-8.2032074816661855E-6</v>
      </c>
      <c r="BD31" s="18">
        <v>-8.1018056956148639E-6</v>
      </c>
      <c r="BE31" s="18">
        <v>1.4205462912364708E-5</v>
      </c>
      <c r="BF31" s="18">
        <v>1.2057178109492375E-5</v>
      </c>
      <c r="BG31" s="18">
        <v>2.0440663114368409E-5</v>
      </c>
      <c r="BH31" s="18">
        <v>2.9862887876809675E-5</v>
      </c>
      <c r="BI31" s="18">
        <v>5.1153217735964061E-6</v>
      </c>
    </row>
    <row r="32" spans="1:61" x14ac:dyDescent="0.25">
      <c r="A32">
        <v>13</v>
      </c>
      <c r="B32" t="s">
        <v>56</v>
      </c>
      <c r="C32" t="s">
        <v>57</v>
      </c>
      <c r="D32" t="s">
        <v>51</v>
      </c>
      <c r="E32" t="s">
        <v>55</v>
      </c>
      <c r="F32" t="s">
        <v>25</v>
      </c>
      <c r="G32" s="20">
        <v>3.5799999999999998E-2</v>
      </c>
      <c r="H32" s="20">
        <v>2.8000000000000004E-3</v>
      </c>
      <c r="I32" s="20">
        <v>0</v>
      </c>
      <c r="J32" s="20">
        <v>0</v>
      </c>
      <c r="K32" s="20">
        <v>1.3000000000000002E-4</v>
      </c>
      <c r="L32" s="20">
        <v>9.2400000000000017E-3</v>
      </c>
      <c r="M32" s="12">
        <f t="shared" si="11"/>
        <v>2.3629999999999998E-2</v>
      </c>
      <c r="N32" s="21">
        <v>0.23</v>
      </c>
      <c r="O32" s="21">
        <v>0.19500000000000001</v>
      </c>
      <c r="P32" s="21">
        <v>0.16500000000000001</v>
      </c>
      <c r="Q32" s="21">
        <v>0.14000000000000001</v>
      </c>
      <c r="R32" s="21">
        <v>0.11</v>
      </c>
      <c r="S32" s="21">
        <v>8.5000000000000006E-2</v>
      </c>
      <c r="T32" s="21">
        <v>0.05</v>
      </c>
      <c r="U32" s="21">
        <v>0</v>
      </c>
      <c r="V32" s="21">
        <v>0</v>
      </c>
      <c r="X32" s="11" cm="1">
        <f t="array" ref="X32">SQRT(INDEX(AE32:AS32,A32))</f>
        <v>2.4307797168648448E-2</v>
      </c>
      <c r="Z32" s="10">
        <v>0</v>
      </c>
      <c r="AA32" s="10">
        <v>0.28333333333333333</v>
      </c>
      <c r="AB32" s="10">
        <v>0</v>
      </c>
      <c r="AE32">
        <f t="shared" si="12"/>
        <v>1.9966188667622502E-4</v>
      </c>
      <c r="AF32">
        <f t="shared" si="10"/>
        <v>2.7595113654443323E-4</v>
      </c>
      <c r="AG32">
        <f t="shared" si="10"/>
        <v>1.3126448417168654E-4</v>
      </c>
      <c r="AH32">
        <f t="shared" si="10"/>
        <v>5.2536421116778547E-5</v>
      </c>
      <c r="AI32">
        <f t="shared" si="10"/>
        <v>2.0228719455965235E-4</v>
      </c>
      <c r="AJ32">
        <f t="shared" si="10"/>
        <v>-6.4851840701867679E-5</v>
      </c>
      <c r="AK32">
        <f t="shared" si="10"/>
        <v>-3.4858452743809221E-4</v>
      </c>
      <c r="AL32">
        <f t="shared" si="10"/>
        <v>-1.2607696769574654E-4</v>
      </c>
      <c r="AM32">
        <f t="shared" si="10"/>
        <v>-2.2108816373346497E-4</v>
      </c>
      <c r="AN32">
        <f t="shared" si="10"/>
        <v>-1.9756172607377881E-4</v>
      </c>
      <c r="AO32">
        <f t="shared" si="10"/>
        <v>3.5891225059238676E-4</v>
      </c>
      <c r="AP32">
        <f t="shared" si="10"/>
        <v>2.4528795737242088E-4</v>
      </c>
      <c r="AQ32">
        <f t="shared" si="10"/>
        <v>5.9086900319215352E-4</v>
      </c>
      <c r="AR32">
        <f t="shared" si="10"/>
        <v>8.4909556660483381E-4</v>
      </c>
      <c r="AS32">
        <f t="shared" si="10"/>
        <v>7.6552338873202755E-5</v>
      </c>
      <c r="AU32" s="18">
        <v>1.6638490556352086E-5</v>
      </c>
      <c r="AV32" s="18">
        <v>2.2995928045369437E-5</v>
      </c>
      <c r="AW32" s="18">
        <v>1.0938707014307213E-5</v>
      </c>
      <c r="AX32" s="18">
        <v>4.3780350930648789E-6</v>
      </c>
      <c r="AY32" s="18">
        <v>1.6857266213304362E-5</v>
      </c>
      <c r="AZ32" s="18">
        <v>-5.4043200584889733E-6</v>
      </c>
      <c r="BA32" s="18">
        <v>-2.9048710619841017E-5</v>
      </c>
      <c r="BB32" s="18">
        <v>-1.0506413974645544E-5</v>
      </c>
      <c r="BC32" s="18">
        <v>-1.8424013644455413E-5</v>
      </c>
      <c r="BD32" s="18">
        <v>-1.6463477172814901E-5</v>
      </c>
      <c r="BE32" s="18">
        <v>2.9909354216032232E-5</v>
      </c>
      <c r="BF32" s="18">
        <v>2.0440663114368409E-5</v>
      </c>
      <c r="BG32" s="18">
        <v>4.9239083599346122E-5</v>
      </c>
      <c r="BH32" s="18">
        <v>7.0757963883736147E-5</v>
      </c>
      <c r="BI32" s="18">
        <v>6.3793615727668962E-6</v>
      </c>
    </row>
    <row r="33" spans="1:61" x14ac:dyDescent="0.25">
      <c r="A33">
        <v>14</v>
      </c>
      <c r="B33" t="s">
        <v>58</v>
      </c>
      <c r="C33" t="s">
        <v>59</v>
      </c>
      <c r="D33" t="s">
        <v>51</v>
      </c>
      <c r="E33" t="s">
        <v>55</v>
      </c>
      <c r="F33" t="s">
        <v>25</v>
      </c>
      <c r="G33" s="20">
        <v>4.7450000000000006E-2</v>
      </c>
      <c r="H33" s="20">
        <v>3.0000000000000001E-3</v>
      </c>
      <c r="I33" s="20">
        <v>0</v>
      </c>
      <c r="J33" s="20">
        <v>0</v>
      </c>
      <c r="K33" s="20">
        <v>2.0800000000000001E-4</v>
      </c>
      <c r="L33" s="20">
        <v>1.2446000000000002E-2</v>
      </c>
      <c r="M33" s="12">
        <f t="shared" si="11"/>
        <v>3.1796000000000005E-2</v>
      </c>
      <c r="N33" s="21">
        <v>0.08</v>
      </c>
      <c r="O33" s="21">
        <v>0.1</v>
      </c>
      <c r="P33" s="21">
        <v>0.125</v>
      </c>
      <c r="Q33" s="21">
        <v>0.15</v>
      </c>
      <c r="R33" s="21">
        <v>0.15</v>
      </c>
      <c r="S33" s="21">
        <v>0.14499999999999999</v>
      </c>
      <c r="T33" s="21">
        <v>0.13</v>
      </c>
      <c r="U33" s="21">
        <v>0.08</v>
      </c>
      <c r="V33" s="21">
        <v>0</v>
      </c>
      <c r="X33" s="11" cm="1">
        <f t="array" ref="X33">SQRT(INDEX(AE33:AS33,A33))</f>
        <v>4.3735739677900211E-2</v>
      </c>
      <c r="Z33" s="10">
        <v>0</v>
      </c>
      <c r="AA33" s="10">
        <v>0.48333333333333323</v>
      </c>
      <c r="AB33" s="10">
        <v>0</v>
      </c>
      <c r="AE33">
        <f t="shared" si="12"/>
        <v>8.464472727340651E-4</v>
      </c>
      <c r="AF33">
        <f t="shared" si="10"/>
        <v>1.0142413421293552E-3</v>
      </c>
      <c r="AG33">
        <f t="shared" si="10"/>
        <v>9.7307621940011398E-4</v>
      </c>
      <c r="AH33">
        <f t="shared" si="10"/>
        <v>7.3915500020189549E-4</v>
      </c>
      <c r="AI33">
        <f t="shared" si="10"/>
        <v>1.0687196823668554E-3</v>
      </c>
      <c r="AJ33">
        <f t="shared" si="10"/>
        <v>6.706553904626759E-4</v>
      </c>
      <c r="AK33">
        <f t="shared" si="10"/>
        <v>-1.4032493807543487E-4</v>
      </c>
      <c r="AL33">
        <f t="shared" si="10"/>
        <v>3.7422154371914105E-4</v>
      </c>
      <c r="AM33">
        <f t="shared" si="10"/>
        <v>-4.2217906392812089E-5</v>
      </c>
      <c r="AN33">
        <f t="shared" si="10"/>
        <v>-4.000783695395461E-4</v>
      </c>
      <c r="AO33">
        <f t="shared" si="10"/>
        <v>7.5842191732306929E-4</v>
      </c>
      <c r="AP33">
        <f t="shared" si="10"/>
        <v>3.5835465452171609E-4</v>
      </c>
      <c r="AQ33">
        <f t="shared" si="10"/>
        <v>8.4909556660483381E-4</v>
      </c>
      <c r="AR33">
        <f t="shared" si="10"/>
        <v>1.9128149251730548E-3</v>
      </c>
      <c r="AS33">
        <f t="shared" si="10"/>
        <v>9.2872901100593707E-5</v>
      </c>
      <c r="AU33" s="18">
        <v>7.0537272727838759E-5</v>
      </c>
      <c r="AV33" s="18">
        <v>8.4520111844112921E-5</v>
      </c>
      <c r="AW33" s="18">
        <v>8.1089684950009494E-5</v>
      </c>
      <c r="AX33" s="18">
        <v>6.1596250016824624E-5</v>
      </c>
      <c r="AY33" s="18">
        <v>8.9059973530571291E-5</v>
      </c>
      <c r="AZ33" s="18">
        <v>5.5887949205222996E-5</v>
      </c>
      <c r="BA33" s="18">
        <v>-1.1693744839619572E-5</v>
      </c>
      <c r="BB33" s="18">
        <v>3.1185128643261754E-5</v>
      </c>
      <c r="BC33" s="18">
        <v>-3.5181588660676738E-6</v>
      </c>
      <c r="BD33" s="18">
        <v>-3.3339864128295511E-5</v>
      </c>
      <c r="BE33" s="18">
        <v>6.3201826443589108E-5</v>
      </c>
      <c r="BF33" s="18">
        <v>2.9862887876809675E-5</v>
      </c>
      <c r="BG33" s="18">
        <v>7.0757963883736147E-5</v>
      </c>
      <c r="BH33" s="18">
        <v>1.5940124376442123E-4</v>
      </c>
      <c r="BI33" s="18">
        <v>7.7394084250494755E-6</v>
      </c>
    </row>
    <row r="34" spans="1:61" x14ac:dyDescent="0.25">
      <c r="A34">
        <v>15</v>
      </c>
      <c r="B34" t="s">
        <v>60</v>
      </c>
      <c r="C34" t="s">
        <v>61</v>
      </c>
      <c r="D34" t="s">
        <v>62</v>
      </c>
      <c r="E34" t="s">
        <v>63</v>
      </c>
      <c r="F34" t="s">
        <v>2</v>
      </c>
      <c r="G34" s="20">
        <v>1.8500000000000003E-2</v>
      </c>
      <c r="H34" s="20">
        <v>0</v>
      </c>
      <c r="I34" s="20">
        <v>0</v>
      </c>
      <c r="J34" s="20">
        <v>0</v>
      </c>
      <c r="K34" s="20">
        <v>0</v>
      </c>
      <c r="L34" s="20">
        <v>6.1050000000000011E-3</v>
      </c>
      <c r="M34" s="12">
        <f t="shared" si="11"/>
        <v>1.2395000000000002E-2</v>
      </c>
      <c r="N34" s="21">
        <v>0.02</v>
      </c>
      <c r="O34" s="21">
        <v>0.02</v>
      </c>
      <c r="P34" s="21">
        <v>0.02</v>
      </c>
      <c r="Q34" s="21">
        <v>0.02</v>
      </c>
      <c r="R34" s="21">
        <v>0.02</v>
      </c>
      <c r="S34" s="21">
        <v>0.02</v>
      </c>
      <c r="T34" s="21">
        <v>0.02</v>
      </c>
      <c r="U34" s="21">
        <v>0.02</v>
      </c>
      <c r="V34" s="21">
        <v>0.02</v>
      </c>
      <c r="X34" s="11" cm="1">
        <f t="array" ref="X34">SQRT(INDEX(AE34:AS34,A34))</f>
        <v>7.489083985045315E-3</v>
      </c>
      <c r="Z34" s="10">
        <v>0</v>
      </c>
      <c r="AA34" s="10">
        <v>6.6666666666666652E-2</v>
      </c>
      <c r="AB34" s="10">
        <v>1</v>
      </c>
      <c r="AE34">
        <f t="shared" si="12"/>
        <v>-6.4393317789959568E-5</v>
      </c>
      <c r="AF34">
        <f t="shared" si="10"/>
        <v>-4.8747296107546563E-5</v>
      </c>
      <c r="AG34">
        <f t="shared" si="10"/>
        <v>-5.039433632228535E-6</v>
      </c>
      <c r="AH34">
        <f t="shared" si="10"/>
        <v>1.1556607289381049E-5</v>
      </c>
      <c r="AI34">
        <f t="shared" si="10"/>
        <v>-1.7948726790315256E-5</v>
      </c>
      <c r="AJ34">
        <f t="shared" si="10"/>
        <v>-2.0838091611221545E-5</v>
      </c>
      <c r="AK34">
        <f t="shared" si="10"/>
        <v>-1.8577916068155711E-5</v>
      </c>
      <c r="AL34">
        <f t="shared" si="10"/>
        <v>8.8801069938775975E-6</v>
      </c>
      <c r="AM34">
        <f t="shared" si="10"/>
        <v>-1.2991358284918264E-6</v>
      </c>
      <c r="AN34">
        <f t="shared" si="10"/>
        <v>-3.6895276775783775E-5</v>
      </c>
      <c r="AO34">
        <f t="shared" si="10"/>
        <v>4.1575782242228621E-5</v>
      </c>
      <c r="AP34">
        <f t="shared" si="10"/>
        <v>6.1383861283156874E-5</v>
      </c>
      <c r="AQ34">
        <f t="shared" si="10"/>
        <v>7.6552338873202755E-5</v>
      </c>
      <c r="AR34">
        <f t="shared" si="10"/>
        <v>9.2872901100593707E-5</v>
      </c>
      <c r="AS34">
        <f t="shared" si="10"/>
        <v>5.6086378935062214E-5</v>
      </c>
      <c r="AU34" s="18">
        <v>-5.3661098158299634E-6</v>
      </c>
      <c r="AV34" s="18">
        <v>-4.0622746756288802E-6</v>
      </c>
      <c r="AW34" s="18">
        <v>-4.1995280268571123E-7</v>
      </c>
      <c r="AX34" s="18">
        <v>9.6305060744842074E-7</v>
      </c>
      <c r="AY34" s="18">
        <v>-1.4957272325262713E-6</v>
      </c>
      <c r="AZ34" s="18">
        <v>-1.7365076342684622E-6</v>
      </c>
      <c r="BA34" s="18">
        <v>-1.5481596723463093E-6</v>
      </c>
      <c r="BB34" s="18">
        <v>7.4000891615646642E-7</v>
      </c>
      <c r="BC34" s="18">
        <v>-1.0826131904098554E-7</v>
      </c>
      <c r="BD34" s="18">
        <v>-3.0746063979819814E-6</v>
      </c>
      <c r="BE34" s="18">
        <v>3.4646485201857184E-6</v>
      </c>
      <c r="BF34" s="18">
        <v>5.1153217735964061E-6</v>
      </c>
      <c r="BG34" s="18">
        <v>6.3793615727668962E-6</v>
      </c>
      <c r="BH34" s="18">
        <v>7.7394084250494755E-6</v>
      </c>
      <c r="BI34" s="18">
        <v>4.6738649112551845E-6</v>
      </c>
    </row>
    <row r="37" spans="1:61" x14ac:dyDescent="0.25">
      <c r="M37" t="s">
        <v>71</v>
      </c>
      <c r="N37" s="12">
        <f t="shared" ref="N37:V37" si="13">SUMPRODUCT($M$20:$M$34,N20:N34)</f>
        <v>3.303906318236103E-2</v>
      </c>
      <c r="O37" s="12">
        <f t="shared" si="13"/>
        <v>3.8945246477951279E-2</v>
      </c>
      <c r="P37" s="12">
        <f t="shared" si="13"/>
        <v>4.507404606913179E-2</v>
      </c>
      <c r="Q37" s="12">
        <f t="shared" si="13"/>
        <v>5.1640258170786393E-2</v>
      </c>
      <c r="R37" s="12">
        <f t="shared" si="13"/>
        <v>5.7528997680423855E-2</v>
      </c>
      <c r="S37" s="12">
        <f t="shared" si="13"/>
        <v>6.3328175988041913E-2</v>
      </c>
      <c r="T37" s="12">
        <f t="shared" si="13"/>
        <v>6.895195155462229E-2</v>
      </c>
      <c r="U37" s="12">
        <f t="shared" si="13"/>
        <v>7.4401502077779888E-2</v>
      </c>
      <c r="V37" s="12">
        <f t="shared" si="13"/>
        <v>7.8454791118862097E-2</v>
      </c>
      <c r="Y37" t="s">
        <v>71</v>
      </c>
      <c r="Z37" s="12">
        <f>SUMPRODUCT($M$20:$M$34,Z20:Z34)</f>
        <v>7.8725294268631313E-2</v>
      </c>
      <c r="AA37" s="12">
        <f t="shared" ref="AA37:AB37" si="14">SUMPRODUCT($M$20:$M$34,AA20:AA34)</f>
        <v>2.7401566666666665E-2</v>
      </c>
      <c r="AB37" s="12">
        <f t="shared" si="14"/>
        <v>1.2395000000000002E-2</v>
      </c>
    </row>
    <row r="38" spans="1:61" x14ac:dyDescent="0.25">
      <c r="M38" t="s">
        <v>5</v>
      </c>
      <c r="N38" s="12" cm="1">
        <f t="array" ref="N38">SQRT(MMULT(TRANSPOSE(N20:N34), MMULT($AE$20:$AS$34,N20:N34)))</f>
        <v>2.8510977206915485E-2</v>
      </c>
      <c r="O38" s="12" cm="1">
        <f t="array" ref="O38">SQRT(MMULT(TRANSPOSE(O20:O34), MMULT($AE$20:$AS$34,O20:O34)))</f>
        <v>3.8498507520576902E-2</v>
      </c>
      <c r="P38" s="12" cm="1">
        <f t="array" ref="P38">SQRT(MMULT(TRANSPOSE(P20:P34), MMULT($AE$20:$AS$34,P20:P34)))</f>
        <v>4.9661232081766545E-2</v>
      </c>
      <c r="Q38" s="12" cm="1">
        <f t="array" ref="Q38">SQRT(MMULT(TRANSPOSE(Q20:Q34), MMULT($AE$20:$AS$34,Q20:Q34)))</f>
        <v>6.1684238477904746E-2</v>
      </c>
      <c r="R38" s="12" cm="1">
        <f t="array" ref="R38">SQRT(MMULT(TRANSPOSE(R20:R34), MMULT($AE$20:$AS$34,R20:R34)))</f>
        <v>7.3309450773840448E-2</v>
      </c>
      <c r="S38" s="12" cm="1">
        <f t="array" ref="S38">SQRT(MMULT(TRANSPOSE(S20:S34), MMULT($AE$20:$AS$34,S20:S34)))</f>
        <v>8.5436526403188676E-2</v>
      </c>
      <c r="T38" s="12" cm="1">
        <f t="array" ref="T38">SQRT(MMULT(TRANSPOSE(T20:T34), MMULT($AE$20:$AS$34,T20:T34)))</f>
        <v>9.8345892091546136E-2</v>
      </c>
      <c r="U38" s="12" cm="1">
        <f t="array" ref="U38">SQRT(MMULT(TRANSPOSE(U20:U34), MMULT($AE$20:$AS$34,U20:U34)))</f>
        <v>0.11183313308261038</v>
      </c>
      <c r="V38" s="12" cm="1">
        <f t="array" ref="V38">SQRT(MMULT(TRANSPOSE(V20:V34), MMULT($AE$20:$AS$34,V20:V34)))</f>
        <v>0.12314179079008988</v>
      </c>
      <c r="Y38" t="s">
        <v>5</v>
      </c>
      <c r="Z38" s="12" cm="1">
        <f t="array" ref="Z38">SQRT(MMULT(TRANSPOSE(Z20:Z34), MMULT($AE$20:$AS$34,Z20:Z34)))</f>
        <v>0.12074369385367663</v>
      </c>
      <c r="AA38" s="12" cm="1">
        <f t="array" ref="AA38">SQRT(MMULT(TRANSPOSE(AA20:AA34), MMULT($AE$20:$AS$34,AA20:AA34)))</f>
        <v>3.0190617466437617E-2</v>
      </c>
      <c r="AB38" s="12" cm="1">
        <f t="array" ref="AB38">SQRT(MMULT(TRANSPOSE(AB20:AB34), MMULT($AE$20:$AS$34,AB20:AB34)))</f>
        <v>7.489083985045315E-3</v>
      </c>
    </row>
    <row r="41" spans="1:61" x14ac:dyDescent="0.25">
      <c r="M41" s="16" t="s">
        <v>66</v>
      </c>
      <c r="Z41" cm="1">
        <f t="array" ref="Z41">MMULT(TRANSPOSE($Z$20:$Z$34), MMULT($AE$20:$AS$34,Z20:Z34))</f>
        <v>1.4579039605430388E-2</v>
      </c>
      <c r="AA41" cm="1">
        <f t="array" ref="AA41">MMULT(TRANSPOSE($Z$20:$Z$34), MMULT($AE$20:$AS$34,AA20:AA34))</f>
        <v>1.7532864931294454E-4</v>
      </c>
      <c r="AB41" cm="1">
        <f t="array" ref="AB41">MMULT(TRANSPOSE($Z$20:$Z$34), MMULT($AE$20:$AS$34,AB20:AB34))</f>
        <v>-2.3101998375407169E-5</v>
      </c>
    </row>
    <row r="42" spans="1:61" x14ac:dyDescent="0.25">
      <c r="M42" s="16" t="s">
        <v>67</v>
      </c>
      <c r="N42" s="12">
        <f>SUMPRODUCT($M$20:$M$29,N20:N29)/SUM(N20:N29)</f>
        <v>7.6414215911805125E-2</v>
      </c>
      <c r="O42" s="12">
        <f>SUMPRODUCT($M$20:$M$29,O20:O29)/SUM(O20:O29)</f>
        <v>7.6965921593170936E-2</v>
      </c>
      <c r="P42" s="12">
        <f>SUMPRODUCT($M$20:$M$29,P20:P29)/SUM(P20:P29)</f>
        <v>7.7338665172829474E-2</v>
      </c>
      <c r="Q42" s="12">
        <f>SUMPRODUCT($M$20:$M$29,Q20:Q29)/SUM(Q20:Q29)</f>
        <v>7.8234956341572778E-2</v>
      </c>
      <c r="R42" s="12">
        <f>SUMPRODUCT($M$20:$M$29,R20:R29)/SUM(R20:R29)</f>
        <v>7.8561596134039749E-2</v>
      </c>
      <c r="S42" s="13">
        <f>SUMPRODUCT($M$20:$M$29,S20:S29)/SUM(S20:S29)</f>
        <v>7.8725294268631313E-2</v>
      </c>
      <c r="T42" s="12">
        <f>SUMPRODUCT($M$20:$M$29,T20:T29)/SUM(T20:T29)</f>
        <v>7.9236339443277862E-2</v>
      </c>
      <c r="U42" s="12">
        <f>SUMPRODUCT($M$20:$M$29,U20:U29)/SUM(U20:U29)</f>
        <v>7.956658008642209E-2</v>
      </c>
      <c r="V42" s="12">
        <f>SUMPRODUCT($M$20:$M$29,V20:V29)/SUM(V20:V29)</f>
        <v>7.9802950121287866E-2</v>
      </c>
      <c r="Z42" cm="1">
        <f t="array" ref="Z42">MMULT(TRANSPOSE($AA$20:$AA$34), MMULT($AE$20:$AS$34,Z20:Z34))</f>
        <v>1.7532864931294457E-4</v>
      </c>
      <c r="AA42" cm="1">
        <f t="array" ref="AA42">MMULT(TRANSPOSE($AA$20:$AA$34), MMULT($AE$20:$AS$34,AA20:AA34))</f>
        <v>9.1147338300476819E-4</v>
      </c>
      <c r="AB42" cm="1">
        <f t="array" ref="AB42">MMULT(TRANSPOSE($AA$20:$AA$34), MMULT($AE$20:$AS$34,AB20:AB34))</f>
        <v>7.7246787182069988E-5</v>
      </c>
    </row>
    <row r="43" spans="1:61" x14ac:dyDescent="0.25">
      <c r="M43" s="16" t="s">
        <v>68</v>
      </c>
      <c r="N43" s="12">
        <f>SUMPRODUCT($M$30:$M$33,N30:N33)/SUM(N30:N33)</f>
        <v>2.2446564102564102E-2</v>
      </c>
      <c r="O43" s="12">
        <f>SUMPRODUCT($M$30:$M$33,O30:O33)/SUM(O30:O33)</f>
        <v>2.2952308823529412E-2</v>
      </c>
      <c r="P43" s="12">
        <f>SUMPRODUCT($M$30:$M$33,P30:P33)/SUM(P30:P33)</f>
        <v>2.3949448275862067E-2</v>
      </c>
      <c r="Q43" s="12">
        <f>SUMPRODUCT($M$30:$M$33,Q30:Q33)/SUM(Q30:Q33)</f>
        <v>2.5572666666666671E-2</v>
      </c>
      <c r="R43" s="12">
        <f>SUMPRODUCT($M$30:$M$33,R30:R33)/SUM(R30:R33)</f>
        <v>2.6695105263157892E-2</v>
      </c>
      <c r="S43" s="13">
        <f>SUMPRODUCT($M$30:$M$33,S30:S33)/SUM(S30:S33)</f>
        <v>2.8473464285714289E-2</v>
      </c>
      <c r="T43" s="12">
        <f>SUMPRODUCT($M$30:$M$33,T30:T33)/SUM(T30:T33)</f>
        <v>2.9527666666666674E-2</v>
      </c>
      <c r="U43" s="12">
        <f>SUMPRODUCT($M$30:$M$33,U30:U33)/SUM(U30:U33)</f>
        <v>3.1796000000000005E-2</v>
      </c>
      <c r="V43" s="12" t="e">
        <f>SUMPRODUCT($M$30:$M$33,V30:V33)/SUM(V30:V33)</f>
        <v>#DIV/0!</v>
      </c>
      <c r="Z43" cm="1">
        <f t="array" ref="Z43">MMULT(TRANSPOSE($AB$20:$AB$34), MMULT($AE$20:$AS$34,Z20:Z34))</f>
        <v>-2.3101998375407169E-5</v>
      </c>
      <c r="AA43" cm="1">
        <f t="array" ref="AA43">MMULT(TRANSPOSE($AB$20:$AB$34), MMULT($AE$20:$AS$34,AA20:AA34))</f>
        <v>7.7246787182069988E-5</v>
      </c>
      <c r="AB43" cm="1">
        <f t="array" ref="AB43">MMULT(TRANSPOSE($AB$20:$AB$34), MMULT($AE$20:$AS$34,AB20:AB34))</f>
        <v>5.6086378935062214E-5</v>
      </c>
    </row>
    <row r="44" spans="1:61" x14ac:dyDescent="0.25">
      <c r="M44" s="16" t="s">
        <v>2</v>
      </c>
      <c r="N44" s="12">
        <f>$M$34*N34/N34</f>
        <v>1.2395E-2</v>
      </c>
      <c r="O44" s="12">
        <f>$M$34*O34/O34</f>
        <v>1.2395E-2</v>
      </c>
      <c r="P44" s="12">
        <f>$M$34*P34/P34</f>
        <v>1.2395E-2</v>
      </c>
      <c r="Q44" s="12">
        <f>$M$34*Q34/Q34</f>
        <v>1.2395E-2</v>
      </c>
      <c r="R44" s="12">
        <f>$M$34*R34/R34</f>
        <v>1.2395E-2</v>
      </c>
      <c r="S44" s="13">
        <f>$M$34*S34/S34</f>
        <v>1.2395E-2</v>
      </c>
      <c r="T44" s="12">
        <f>$M$34*T34/T34</f>
        <v>1.2395E-2</v>
      </c>
      <c r="U44" s="12">
        <f>$M$34*U34/U34</f>
        <v>1.2395E-2</v>
      </c>
      <c r="V44" s="12">
        <f>$M$34*V34/V34</f>
        <v>1.2395E-2</v>
      </c>
    </row>
    <row r="45" spans="1:61" x14ac:dyDescent="0.25">
      <c r="M45" s="16"/>
    </row>
    <row r="46" spans="1:61" x14ac:dyDescent="0.25">
      <c r="M46" s="16" t="s">
        <v>70</v>
      </c>
      <c r="N46" s="15">
        <f>N30/SUM(N30:N33)</f>
        <v>0.25641025641025644</v>
      </c>
      <c r="O46" s="15">
        <f>O30/SUM(O30:O33)</f>
        <v>0.24264705882352941</v>
      </c>
      <c r="P46" s="15">
        <f>P30/SUM(P30:P33)</f>
        <v>0.23275862068965517</v>
      </c>
      <c r="Q46" s="15">
        <f>Q30/SUM(Q30:Q33)</f>
        <v>0.22916666666666669</v>
      </c>
      <c r="R46" s="15">
        <f>R30/SUM(R30:R33)</f>
        <v>0.21052631578947367</v>
      </c>
      <c r="S46" s="15">
        <f>S30/SUM(S30:S33)</f>
        <v>0.17857142857142858</v>
      </c>
      <c r="T46" s="15">
        <f>T30/SUM(T30:T33)</f>
        <v>0</v>
      </c>
      <c r="U46" s="15">
        <f>U30/SUM(U30:U33)</f>
        <v>0</v>
      </c>
      <c r="V46" s="15" t="e">
        <f>V30/SUM(V30:V33)</f>
        <v>#DIV/0!</v>
      </c>
    </row>
  </sheetData>
  <mergeCells count="1">
    <mergeCell ref="S11:S16"/>
  </mergeCells>
  <conditionalFormatting sqref="N20:V34 G20:L34 X20:X34">
    <cfRule type="cellIs" dxfId="2" priority="4" operator="equal">
      <formula>0</formula>
    </cfRule>
  </conditionalFormatting>
  <conditionalFormatting sqref="Z20:AB34">
    <cfRule type="cellIs" dxfId="1" priority="3" operator="equal">
      <formula>0</formula>
    </cfRule>
  </conditionalFormatting>
  <conditionalFormatting sqref="P2:P4">
    <cfRule type="cellIs" dxfId="0" priority="2" operator="equal">
      <formula>0</formula>
    </cfRule>
  </conditionalFormatting>
  <conditionalFormatting sqref="K2:M4">
    <cfRule type="colorScale" priority="1">
      <colorScale>
        <cfvo type="num" val="-1"/>
        <cfvo type="num" val="0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3x3</vt:lpstr>
      <vt:lpstr>2x2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 Bristow</dc:creator>
  <cp:lastModifiedBy>Mitchell Bristow</cp:lastModifiedBy>
  <dcterms:created xsi:type="dcterms:W3CDTF">2026-05-19T05:44:23Z</dcterms:created>
  <dcterms:modified xsi:type="dcterms:W3CDTF">2026-05-19T21:59:51Z</dcterms:modified>
</cp:coreProperties>
</file>